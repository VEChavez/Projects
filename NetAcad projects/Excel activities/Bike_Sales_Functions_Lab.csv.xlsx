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ownloads\"/>
    </mc:Choice>
  </mc:AlternateContent>
  <xr:revisionPtr revIDLastSave="0" documentId="13_ncr:9_{BCCD8875-9A9B-4047-BC0B-4114B0C413BB}" xr6:coauthVersionLast="47" xr6:coauthVersionMax="47" xr10:uidLastSave="{00000000-0000-0000-0000-000000000000}"/>
  <bookViews>
    <workbookView xWindow="-108" yWindow="-108" windowWidth="23256" windowHeight="12456" xr2:uid="{030C5280-9061-4446-A60A-623FC9B877F3}"/>
  </bookViews>
  <sheets>
    <sheet name="Bike_Sales_Functions_Lab" sheetId="1" r:id="rId1"/>
    <sheet name="Functions and Formulas done" sheetId="2" r:id="rId2"/>
  </sheets>
  <definedNames>
    <definedName name="_xlnm._FilterDatabase" localSheetId="0" hidden="1">Bike_Sales_Functions_Lab!$M$1:$M$89</definedName>
  </definedNames>
  <calcPr calcId="0"/>
</workbook>
</file>

<file path=xl/calcChain.xml><?xml version="1.0" encoding="utf-8"?>
<calcChain xmlns="http://schemas.openxmlformats.org/spreadsheetml/2006/main">
  <c r="J7" i="2" l="1"/>
  <c r="K2" i="2"/>
  <c r="J2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2" i="2"/>
  <c r="B4" i="2"/>
  <c r="B3" i="2"/>
  <c r="B2" i="2"/>
</calcChain>
</file>

<file path=xl/sharedStrings.xml><?xml version="1.0" encoding="utf-8"?>
<sst xmlns="http://schemas.openxmlformats.org/spreadsheetml/2006/main" count="823" uniqueCount="168">
  <si>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</si>
  <si>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</si>
  <si>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</si>
  <si>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</si>
  <si>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</si>
  <si>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</si>
  <si>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</si>
  <si>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</si>
  <si>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</si>
  <si>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</si>
  <si>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</si>
  <si>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</si>
  <si>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</si>
  <si>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</si>
  <si>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</si>
  <si>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</si>
  <si>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</si>
  <si>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</si>
  <si>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</si>
  <si>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</si>
  <si>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</si>
  <si>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</si>
  <si>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</si>
  <si>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</si>
  <si>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</si>
  <si>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</si>
  <si>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</si>
  <si>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</si>
  <si>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</si>
  <si>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</si>
  <si>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</si>
  <si>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</si>
  <si>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</si>
  <si>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</si>
  <si>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</si>
  <si>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</si>
  <si>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</si>
  <si>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</si>
  <si>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</si>
  <si>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</si>
  <si>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</si>
  <si>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</si>
  <si>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</si>
  <si>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</si>
  <si>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</si>
  <si>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</si>
  <si>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</si>
  <si>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</si>
  <si>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</si>
  <si>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</si>
  <si>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</si>
  <si>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</si>
  <si>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</si>
  <si>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</si>
  <si>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</si>
  <si>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</si>
  <si>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</si>
  <si>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</si>
  <si>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</si>
  <si>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</si>
  <si>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</si>
  <si>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</si>
  <si>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</si>
  <si>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</si>
  <si>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</si>
  <si>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</si>
  <si>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</si>
  <si>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</si>
  <si>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</si>
  <si>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</si>
  <si>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</si>
  <si>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</si>
  <si>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</si>
  <si>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</si>
  <si>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</si>
  <si>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</si>
  <si>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</si>
  <si>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</si>
  <si>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</si>
  <si>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</si>
  <si>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</si>
  <si>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</si>
  <si>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</si>
  <si>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</si>
  <si>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</si>
  <si>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</si>
  <si>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</si>
  <si>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</si>
  <si>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</si>
  <si>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</si>
  <si>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</si>
  <si>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</si>
  <si>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</si>
  <si>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</si>
  <si>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</si>
  <si>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</si>
  <si>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</si>
  <si>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</si>
  <si>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</si>
  <si>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</si>
  <si>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</si>
  <si>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</si>
  <si>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</si>
  <si>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</si>
  <si>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</si>
  <si>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</si>
  <si>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</si>
  <si>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</si>
  <si>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</si>
  <si>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</si>
  <si>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</si>
  <si>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</si>
  <si>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</si>
  <si>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</si>
  <si>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</si>
  <si>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</si>
  <si>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</si>
  <si>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</si>
  <si>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</si>
  <si>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</si>
  <si>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</si>
  <si>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</si>
  <si>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</si>
  <si>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</si>
  <si>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</si>
  <si>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</si>
  <si>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</si>
  <si>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</si>
  <si>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</si>
  <si>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</si>
  <si>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</si>
  <si>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</si>
  <si>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</si>
  <si>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</si>
  <si>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</si>
  <si>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</si>
  <si>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</si>
  <si>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</si>
  <si>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</si>
  <si>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</si>
  <si>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</si>
  <si>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</si>
  <si>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</si>
  <si>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</si>
  <si>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</si>
  <si>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</si>
  <si>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</si>
  <si>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</si>
  <si>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</si>
  <si>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</si>
  <si>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</si>
  <si>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</si>
  <si>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</si>
  <si>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</si>
  <si>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</si>
  <si>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</si>
  <si>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Revenue from Australia</t>
  </si>
  <si>
    <t>Adults</t>
  </si>
  <si>
    <t>Young Adults</t>
  </si>
  <si>
    <t>Maximum Revenue from Australia</t>
  </si>
  <si>
    <t>Minimum Revenue from Australia</t>
  </si>
  <si>
    <t>Youth</t>
  </si>
  <si>
    <t>Separated data: Size</t>
  </si>
  <si>
    <t>Separated data: Color</t>
  </si>
  <si>
    <t>Separated data: Model</t>
  </si>
  <si>
    <t>Concatenated values</t>
  </si>
  <si>
    <t>Age Group</t>
  </si>
  <si>
    <t>Average Revenue per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</si>
</sst>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91C3-8010-4504-8E23-C644AE62A414}">
  <dimension ref="A1:S89"/>
  <sheetViews>
    <sheetView tabSelected="1" topLeftCell="C1" workbookViewId="0">
      <selection activeCell="N1" sqref="N1:N1048576"/>
    </sheetView>
  </sheetViews>
  <sheetFormatPr defaultRowHeight="14.4" x14ac:dyDescent="0.3"/>
  <cols>
    <col min="1" max="1" width="19.44140625" customWidth="1"/>
    <col min="2" max="2" width="18.44140625" customWidth="1"/>
    <col min="4" max="4" width="11" customWidth="1"/>
    <col min="7" max="7" width="21.6640625" customWidth="1"/>
    <col min="9" max="9" width="20.88671875" customWidth="1"/>
    <col min="10" max="10" width="22.33203125" customWidth="1"/>
    <col min="12" max="12" width="16.21875" customWidth="1"/>
    <col min="13" max="13" width="24.6640625" customWidth="1"/>
    <col min="14" max="14" width="15" customWidth="1"/>
    <col min="15" max="15" width="18.5546875" customWidth="1"/>
    <col min="16" max="16" width="13.88671875" customWidth="1"/>
    <col min="17" max="17" width="13.5546875" customWidth="1"/>
    <col min="18" max="18" width="13.109375" customWidth="1"/>
    <col min="19" max="19" width="16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s="3">
        <v>1252</v>
      </c>
      <c r="P2" s="3">
        <v>2295</v>
      </c>
      <c r="Q2" s="3">
        <v>4172</v>
      </c>
      <c r="R2" s="3">
        <v>5008</v>
      </c>
      <c r="S2" s="3">
        <v>9180</v>
      </c>
    </row>
    <row r="3" spans="1:19" x14ac:dyDescent="0.3">
      <c r="A3" s="1" t="s">
        <v>28</v>
      </c>
      <c r="B3" s="2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t="s">
        <v>32</v>
      </c>
      <c r="N3">
        <v>1</v>
      </c>
      <c r="O3" s="3">
        <v>1266</v>
      </c>
      <c r="P3" s="3">
        <v>2320</v>
      </c>
      <c r="Q3" s="3">
        <v>1054</v>
      </c>
      <c r="R3" s="3">
        <v>1266</v>
      </c>
      <c r="S3" s="3">
        <v>2320</v>
      </c>
    </row>
    <row r="4" spans="1:19" x14ac:dyDescent="0.3">
      <c r="A4" s="1" t="s">
        <v>33</v>
      </c>
      <c r="B4" s="2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>
        <v>2</v>
      </c>
      <c r="O4" s="3">
        <v>420</v>
      </c>
      <c r="P4" s="3">
        <v>769</v>
      </c>
      <c r="Q4" s="3">
        <v>698</v>
      </c>
      <c r="R4" s="3">
        <v>840</v>
      </c>
      <c r="S4" s="3">
        <v>1538</v>
      </c>
    </row>
    <row r="5" spans="1:19" x14ac:dyDescent="0.3">
      <c r="A5" s="1" t="s">
        <v>35</v>
      </c>
      <c r="B5" s="2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t="s">
        <v>39</v>
      </c>
      <c r="N5">
        <v>1</v>
      </c>
      <c r="O5" s="3">
        <v>420</v>
      </c>
      <c r="P5" s="3">
        <v>769</v>
      </c>
      <c r="Q5" s="3">
        <v>349</v>
      </c>
      <c r="R5" s="3">
        <v>420</v>
      </c>
      <c r="S5" s="3">
        <v>769</v>
      </c>
    </row>
    <row r="6" spans="1:19" x14ac:dyDescent="0.3">
      <c r="A6" s="1" t="s">
        <v>40</v>
      </c>
      <c r="B6" s="2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>
        <v>2</v>
      </c>
      <c r="O6" s="3">
        <v>1252</v>
      </c>
      <c r="P6" s="3">
        <v>2295</v>
      </c>
      <c r="Q6" s="3">
        <v>2086</v>
      </c>
      <c r="R6" s="3">
        <v>2504</v>
      </c>
      <c r="S6" s="3">
        <v>4590</v>
      </c>
    </row>
    <row r="7" spans="1:19" x14ac:dyDescent="0.3">
      <c r="A7" s="1" t="s">
        <v>41</v>
      </c>
      <c r="B7" s="2">
        <v>44533</v>
      </c>
      <c r="C7">
        <v>3</v>
      </c>
      <c r="D7" t="s">
        <v>20</v>
      </c>
      <c r="E7">
        <v>2021</v>
      </c>
      <c r="F7">
        <v>24</v>
      </c>
      <c r="G7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t="s">
        <v>43</v>
      </c>
      <c r="N7">
        <v>1</v>
      </c>
      <c r="O7" s="3">
        <v>1252</v>
      </c>
      <c r="P7" s="3">
        <v>2295</v>
      </c>
      <c r="Q7" s="3">
        <v>1043</v>
      </c>
      <c r="R7" s="3">
        <v>1252</v>
      </c>
      <c r="S7" s="3">
        <v>2295</v>
      </c>
    </row>
    <row r="8" spans="1:19" x14ac:dyDescent="0.3">
      <c r="A8" s="1" t="s">
        <v>44</v>
      </c>
      <c r="B8" s="2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t="s">
        <v>27</v>
      </c>
      <c r="N8">
        <v>1</v>
      </c>
      <c r="O8" s="3">
        <v>1252</v>
      </c>
      <c r="P8" s="3">
        <v>2295</v>
      </c>
      <c r="Q8" s="3">
        <v>1043</v>
      </c>
      <c r="R8" s="3">
        <v>1252</v>
      </c>
      <c r="S8" s="3">
        <v>2295</v>
      </c>
    </row>
    <row r="9" spans="1:19" x14ac:dyDescent="0.3">
      <c r="A9" s="1" t="s">
        <v>46</v>
      </c>
      <c r="B9" s="2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t="s">
        <v>39</v>
      </c>
      <c r="N9">
        <v>4</v>
      </c>
      <c r="O9" s="3">
        <v>420</v>
      </c>
      <c r="P9" s="3">
        <v>769</v>
      </c>
      <c r="Q9" s="3">
        <v>1396</v>
      </c>
      <c r="R9" s="3">
        <v>1680</v>
      </c>
      <c r="S9" s="3">
        <v>3076</v>
      </c>
    </row>
    <row r="10" spans="1:19" x14ac:dyDescent="0.3">
      <c r="A10" s="1" t="s">
        <v>47</v>
      </c>
      <c r="B10" s="2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>
        <v>4</v>
      </c>
      <c r="O10" s="3">
        <v>1252</v>
      </c>
      <c r="P10" s="3">
        <v>2295</v>
      </c>
      <c r="Q10" s="3">
        <v>4172</v>
      </c>
      <c r="R10" s="3">
        <v>5008</v>
      </c>
      <c r="S10" s="3">
        <v>9180</v>
      </c>
    </row>
    <row r="11" spans="1:19" x14ac:dyDescent="0.3">
      <c r="A11" s="1" t="s">
        <v>48</v>
      </c>
      <c r="B11" s="2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t="s">
        <v>43</v>
      </c>
      <c r="N11">
        <v>4</v>
      </c>
      <c r="O11" s="3">
        <v>1252</v>
      </c>
      <c r="P11" s="3">
        <v>2295</v>
      </c>
      <c r="Q11" s="3">
        <v>4172</v>
      </c>
      <c r="R11" s="3">
        <v>5008</v>
      </c>
      <c r="S11" s="3">
        <v>9180</v>
      </c>
    </row>
    <row r="12" spans="1:19" x14ac:dyDescent="0.3">
      <c r="A12" s="1" t="s">
        <v>51</v>
      </c>
      <c r="B12" s="2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t="s">
        <v>53</v>
      </c>
      <c r="N12">
        <v>1</v>
      </c>
      <c r="O12" s="3">
        <v>1266</v>
      </c>
      <c r="P12" s="3">
        <v>2320</v>
      </c>
      <c r="Q12" s="3">
        <v>1054</v>
      </c>
      <c r="R12" s="3">
        <v>1266</v>
      </c>
      <c r="S12" s="3">
        <v>2320</v>
      </c>
    </row>
    <row r="13" spans="1:19" x14ac:dyDescent="0.3">
      <c r="A13" s="1" t="s">
        <v>54</v>
      </c>
      <c r="B13" s="2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>
        <v>1</v>
      </c>
      <c r="O13" s="3">
        <v>1252</v>
      </c>
      <c r="P13" s="3">
        <v>2295</v>
      </c>
      <c r="Q13" s="3">
        <v>1043</v>
      </c>
      <c r="R13" s="3">
        <v>1252</v>
      </c>
      <c r="S13" s="3">
        <v>2295</v>
      </c>
    </row>
    <row r="14" spans="1:19" x14ac:dyDescent="0.3">
      <c r="A14" s="1" t="s">
        <v>55</v>
      </c>
      <c r="B14" s="2">
        <v>44536</v>
      </c>
      <c r="C14">
        <v>6</v>
      </c>
      <c r="D14" t="s">
        <v>20</v>
      </c>
      <c r="E14">
        <v>2021</v>
      </c>
      <c r="F14">
        <v>23</v>
      </c>
      <c r="G14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t="s">
        <v>34</v>
      </c>
      <c r="N14">
        <v>3</v>
      </c>
      <c r="O14" s="3">
        <v>420</v>
      </c>
      <c r="P14" s="3">
        <v>769</v>
      </c>
      <c r="Q14" s="3">
        <v>1047</v>
      </c>
      <c r="R14" s="3">
        <v>1260</v>
      </c>
      <c r="S14" s="3">
        <v>2307</v>
      </c>
    </row>
    <row r="15" spans="1:19" x14ac:dyDescent="0.3">
      <c r="A15" s="1" t="s">
        <v>56</v>
      </c>
      <c r="B15" s="2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t="s">
        <v>27</v>
      </c>
      <c r="N15">
        <v>1</v>
      </c>
      <c r="O15" s="3">
        <v>1252</v>
      </c>
      <c r="P15" s="3">
        <v>2295</v>
      </c>
      <c r="Q15" s="3">
        <v>1043</v>
      </c>
      <c r="R15" s="3">
        <v>1252</v>
      </c>
      <c r="S15" s="3">
        <v>2295</v>
      </c>
    </row>
    <row r="16" spans="1:19" x14ac:dyDescent="0.3">
      <c r="A16" s="1" t="s">
        <v>59</v>
      </c>
      <c r="B16" s="2">
        <v>44536</v>
      </c>
      <c r="C16">
        <v>6</v>
      </c>
      <c r="D16" t="s">
        <v>20</v>
      </c>
      <c r="E16">
        <v>2021</v>
      </c>
      <c r="F16">
        <v>36</v>
      </c>
      <c r="G16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t="s">
        <v>60</v>
      </c>
      <c r="N16">
        <v>1</v>
      </c>
      <c r="O16" s="3">
        <v>1252</v>
      </c>
      <c r="P16" s="3">
        <v>2295</v>
      </c>
      <c r="Q16" s="3">
        <v>1043</v>
      </c>
      <c r="R16" s="3">
        <v>1252</v>
      </c>
      <c r="S16" s="3">
        <v>2295</v>
      </c>
    </row>
    <row r="17" spans="1:19" x14ac:dyDescent="0.3">
      <c r="A17" s="1" t="s">
        <v>61</v>
      </c>
      <c r="B17" s="2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t="s">
        <v>53</v>
      </c>
      <c r="N17">
        <v>1</v>
      </c>
      <c r="O17" s="3">
        <v>1266</v>
      </c>
      <c r="P17" s="3">
        <v>2320</v>
      </c>
      <c r="Q17" s="3">
        <v>1054</v>
      </c>
      <c r="R17" s="3">
        <v>1266</v>
      </c>
      <c r="S17" s="3">
        <v>2320</v>
      </c>
    </row>
    <row r="18" spans="1:19" x14ac:dyDescent="0.3">
      <c r="A18" s="1" t="s">
        <v>62</v>
      </c>
      <c r="B18" s="2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t="s">
        <v>63</v>
      </c>
      <c r="N18">
        <v>4</v>
      </c>
      <c r="O18" s="3">
        <v>420</v>
      </c>
      <c r="P18" s="3">
        <v>769</v>
      </c>
      <c r="Q18" s="3">
        <v>1396</v>
      </c>
      <c r="R18" s="3">
        <v>1680</v>
      </c>
      <c r="S18" s="3">
        <v>3076</v>
      </c>
    </row>
    <row r="19" spans="1:19" x14ac:dyDescent="0.3">
      <c r="A19" s="1" t="s">
        <v>64</v>
      </c>
      <c r="B19" s="2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t="s">
        <v>32</v>
      </c>
      <c r="N19">
        <v>2</v>
      </c>
      <c r="O19" s="3">
        <v>1266</v>
      </c>
      <c r="P19" s="3">
        <v>2320</v>
      </c>
      <c r="Q19" s="3">
        <v>2108</v>
      </c>
      <c r="R19" s="3">
        <v>2532</v>
      </c>
      <c r="S19" s="3">
        <v>4640</v>
      </c>
    </row>
    <row r="20" spans="1:19" x14ac:dyDescent="0.3">
      <c r="A20" s="1" t="s">
        <v>65</v>
      </c>
      <c r="B20" s="2">
        <v>44538</v>
      </c>
      <c r="C20">
        <v>8</v>
      </c>
      <c r="D20" t="s">
        <v>20</v>
      </c>
      <c r="E20">
        <v>2021</v>
      </c>
      <c r="F20">
        <v>19</v>
      </c>
      <c r="G20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t="s">
        <v>66</v>
      </c>
      <c r="N20">
        <v>4</v>
      </c>
      <c r="O20" s="3">
        <v>308</v>
      </c>
      <c r="P20" s="3">
        <v>565</v>
      </c>
      <c r="Q20" s="3">
        <v>1028</v>
      </c>
      <c r="R20" s="3">
        <v>1232</v>
      </c>
      <c r="S20" s="3">
        <v>2260</v>
      </c>
    </row>
    <row r="21" spans="1:19" x14ac:dyDescent="0.3">
      <c r="A21" s="1" t="s">
        <v>67</v>
      </c>
      <c r="B21" s="2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t="s">
        <v>53</v>
      </c>
      <c r="N21">
        <v>4</v>
      </c>
      <c r="O21" s="3">
        <v>1266</v>
      </c>
      <c r="P21" s="3">
        <v>2320</v>
      </c>
      <c r="Q21" s="3">
        <v>4216</v>
      </c>
      <c r="R21" s="3">
        <v>5064</v>
      </c>
      <c r="S21" s="3">
        <v>9280</v>
      </c>
    </row>
    <row r="22" spans="1:19" x14ac:dyDescent="0.3">
      <c r="A22" s="1" t="s">
        <v>68</v>
      </c>
      <c r="B22" s="2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t="s">
        <v>60</v>
      </c>
      <c r="N22">
        <v>2</v>
      </c>
      <c r="O22" s="3">
        <v>1252</v>
      </c>
      <c r="P22" s="3">
        <v>2295</v>
      </c>
      <c r="Q22" s="3">
        <v>2086</v>
      </c>
      <c r="R22" s="3">
        <v>2504</v>
      </c>
      <c r="S22" s="3">
        <v>4590</v>
      </c>
    </row>
    <row r="23" spans="1:19" x14ac:dyDescent="0.3">
      <c r="A23" s="1" t="s">
        <v>70</v>
      </c>
      <c r="B23" s="2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71</v>
      </c>
      <c r="N23">
        <v>1</v>
      </c>
      <c r="O23" s="3">
        <v>295</v>
      </c>
      <c r="P23" s="3">
        <v>540</v>
      </c>
      <c r="Q23" s="3">
        <v>245</v>
      </c>
      <c r="R23" s="3">
        <v>295</v>
      </c>
      <c r="S23" s="3">
        <v>540</v>
      </c>
    </row>
    <row r="24" spans="1:19" x14ac:dyDescent="0.3">
      <c r="A24" s="1" t="s">
        <v>72</v>
      </c>
      <c r="B24" s="2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t="s">
        <v>74</v>
      </c>
      <c r="N24">
        <v>2</v>
      </c>
      <c r="O24" s="3">
        <v>1898</v>
      </c>
      <c r="P24" s="3">
        <v>3375</v>
      </c>
      <c r="Q24" s="3">
        <v>2954</v>
      </c>
      <c r="R24" s="3">
        <v>3796</v>
      </c>
      <c r="S24" s="3">
        <v>6750</v>
      </c>
    </row>
    <row r="25" spans="1:19" x14ac:dyDescent="0.3">
      <c r="A25" s="1" t="s">
        <v>75</v>
      </c>
      <c r="B25" s="2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t="s">
        <v>32</v>
      </c>
      <c r="N25">
        <v>1</v>
      </c>
      <c r="O25" s="3">
        <v>1266</v>
      </c>
      <c r="P25" s="3">
        <v>2320</v>
      </c>
      <c r="Q25" s="3">
        <v>1054</v>
      </c>
      <c r="R25" s="3">
        <v>1266</v>
      </c>
      <c r="S25" s="3">
        <v>2320</v>
      </c>
    </row>
    <row r="26" spans="1:19" x14ac:dyDescent="0.3">
      <c r="A26" s="1" t="s">
        <v>77</v>
      </c>
      <c r="B26" s="2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60</v>
      </c>
      <c r="N26">
        <v>2</v>
      </c>
      <c r="O26" s="3">
        <v>1252</v>
      </c>
      <c r="P26" s="3">
        <v>2295</v>
      </c>
      <c r="Q26" s="3">
        <v>2086</v>
      </c>
      <c r="R26" s="3">
        <v>2504</v>
      </c>
      <c r="S26" s="3">
        <v>4590</v>
      </c>
    </row>
    <row r="27" spans="1:19" x14ac:dyDescent="0.3">
      <c r="A27" s="1" t="s">
        <v>78</v>
      </c>
      <c r="B27" s="2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t="s">
        <v>60</v>
      </c>
      <c r="N27">
        <v>2</v>
      </c>
      <c r="O27" s="3">
        <v>1252</v>
      </c>
      <c r="P27" s="3">
        <v>2295</v>
      </c>
      <c r="Q27" s="3">
        <v>2086</v>
      </c>
      <c r="R27" s="3">
        <v>2504</v>
      </c>
      <c r="S27" s="3">
        <v>4590</v>
      </c>
    </row>
    <row r="28" spans="1:19" x14ac:dyDescent="0.3">
      <c r="A28" s="1" t="s">
        <v>79</v>
      </c>
      <c r="B28" s="2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t="s">
        <v>43</v>
      </c>
      <c r="N28">
        <v>1</v>
      </c>
      <c r="O28" s="3">
        <v>1252</v>
      </c>
      <c r="P28" s="3">
        <v>2295</v>
      </c>
      <c r="Q28" s="3">
        <v>1043</v>
      </c>
      <c r="R28" s="3">
        <v>1252</v>
      </c>
      <c r="S28" s="3">
        <v>2295</v>
      </c>
    </row>
    <row r="29" spans="1:19" x14ac:dyDescent="0.3">
      <c r="A29" s="1" t="s">
        <v>80</v>
      </c>
      <c r="B29" s="2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t="s">
        <v>81</v>
      </c>
      <c r="N29">
        <v>1</v>
      </c>
      <c r="O29" s="3">
        <v>295</v>
      </c>
      <c r="P29" s="3">
        <v>540</v>
      </c>
      <c r="Q29" s="3">
        <v>245</v>
      </c>
      <c r="R29" s="3">
        <v>295</v>
      </c>
      <c r="S29" s="3">
        <v>540</v>
      </c>
    </row>
    <row r="30" spans="1:19" x14ac:dyDescent="0.3">
      <c r="A30" s="1" t="s">
        <v>82</v>
      </c>
      <c r="B30" s="2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t="s">
        <v>83</v>
      </c>
      <c r="N30">
        <v>1</v>
      </c>
      <c r="O30" s="3">
        <v>1912</v>
      </c>
      <c r="P30" s="3">
        <v>3400</v>
      </c>
      <c r="Q30" s="3">
        <v>1488</v>
      </c>
      <c r="R30" s="3">
        <v>1912</v>
      </c>
      <c r="S30" s="3">
        <v>3400</v>
      </c>
    </row>
    <row r="31" spans="1:19" x14ac:dyDescent="0.3">
      <c r="A31" s="1" t="s">
        <v>84</v>
      </c>
      <c r="B31" s="2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t="s">
        <v>43</v>
      </c>
      <c r="N31">
        <v>1</v>
      </c>
      <c r="O31" s="3">
        <v>1252</v>
      </c>
      <c r="P31" s="3">
        <v>2295</v>
      </c>
      <c r="Q31" s="3">
        <v>1043</v>
      </c>
      <c r="R31" s="3">
        <v>1252</v>
      </c>
      <c r="S31" s="3">
        <v>2295</v>
      </c>
    </row>
    <row r="32" spans="1:19" x14ac:dyDescent="0.3">
      <c r="A32" s="1" t="s">
        <v>85</v>
      </c>
      <c r="B32" s="2">
        <v>44541</v>
      </c>
      <c r="C32">
        <v>11</v>
      </c>
      <c r="D32" t="s">
        <v>20</v>
      </c>
      <c r="E32">
        <v>2021</v>
      </c>
      <c r="F32">
        <v>24</v>
      </c>
      <c r="G32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t="s">
        <v>43</v>
      </c>
      <c r="N32">
        <v>3</v>
      </c>
      <c r="O32" s="3">
        <v>1252</v>
      </c>
      <c r="P32" s="3">
        <v>2295</v>
      </c>
      <c r="Q32" s="3">
        <v>3129</v>
      </c>
      <c r="R32" s="3">
        <v>3756</v>
      </c>
      <c r="S32" s="3">
        <v>6885</v>
      </c>
    </row>
    <row r="33" spans="1:19" x14ac:dyDescent="0.3">
      <c r="A33" s="1" t="s">
        <v>88</v>
      </c>
      <c r="B33" s="2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t="s">
        <v>63</v>
      </c>
      <c r="N33">
        <v>2</v>
      </c>
      <c r="O33" s="3">
        <v>420</v>
      </c>
      <c r="P33" s="3">
        <v>769</v>
      </c>
      <c r="Q33" s="3">
        <v>698</v>
      </c>
      <c r="R33" s="3">
        <v>840</v>
      </c>
      <c r="S33" s="3">
        <v>1538</v>
      </c>
    </row>
    <row r="34" spans="1:19" x14ac:dyDescent="0.3">
      <c r="A34" s="1" t="s">
        <v>89</v>
      </c>
      <c r="B34" s="2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t="s">
        <v>27</v>
      </c>
      <c r="N34">
        <v>1</v>
      </c>
      <c r="O34" s="3">
        <v>1252</v>
      </c>
      <c r="P34" s="3">
        <v>2295</v>
      </c>
      <c r="Q34" s="3">
        <v>1043</v>
      </c>
      <c r="R34" s="3">
        <v>1252</v>
      </c>
      <c r="S34" s="3">
        <v>2295</v>
      </c>
    </row>
    <row r="35" spans="1:19" x14ac:dyDescent="0.3">
      <c r="A35" s="1" t="s">
        <v>90</v>
      </c>
      <c r="B35" s="2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t="s">
        <v>34</v>
      </c>
      <c r="N35">
        <v>1</v>
      </c>
      <c r="O35" s="3">
        <v>420</v>
      </c>
      <c r="P35" s="3">
        <v>769</v>
      </c>
      <c r="Q35" s="3">
        <v>349</v>
      </c>
      <c r="R35" s="3">
        <v>420</v>
      </c>
      <c r="S35" s="3">
        <v>769</v>
      </c>
    </row>
    <row r="36" spans="1:19" x14ac:dyDescent="0.3">
      <c r="A36" s="1" t="s">
        <v>91</v>
      </c>
      <c r="B36" s="2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53</v>
      </c>
      <c r="N36">
        <v>1</v>
      </c>
      <c r="O36" s="3">
        <v>1266</v>
      </c>
      <c r="P36" s="3">
        <v>2320</v>
      </c>
      <c r="Q36" s="3">
        <v>1054</v>
      </c>
      <c r="R36" s="3">
        <v>1266</v>
      </c>
      <c r="S36" s="3">
        <v>2320</v>
      </c>
    </row>
    <row r="37" spans="1:19" x14ac:dyDescent="0.3">
      <c r="A37" s="1" t="s">
        <v>92</v>
      </c>
      <c r="B37" s="2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t="s">
        <v>32</v>
      </c>
      <c r="N37">
        <v>4</v>
      </c>
      <c r="O37" s="3">
        <v>1266</v>
      </c>
      <c r="P37" s="3">
        <v>2320</v>
      </c>
      <c r="Q37" s="3">
        <v>4216</v>
      </c>
      <c r="R37" s="3">
        <v>5064</v>
      </c>
      <c r="S37" s="3">
        <v>9280</v>
      </c>
    </row>
    <row r="38" spans="1:19" x14ac:dyDescent="0.3">
      <c r="A38" s="1" t="s">
        <v>93</v>
      </c>
      <c r="B38" s="2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>
        <v>4</v>
      </c>
      <c r="O38" s="3">
        <v>420</v>
      </c>
      <c r="P38" s="3">
        <v>769</v>
      </c>
      <c r="Q38" s="3">
        <v>1396</v>
      </c>
      <c r="R38" s="3">
        <v>1680</v>
      </c>
      <c r="S38" s="3">
        <v>3076</v>
      </c>
    </row>
    <row r="39" spans="1:19" x14ac:dyDescent="0.3">
      <c r="A39" s="1" t="s">
        <v>94</v>
      </c>
      <c r="B39" s="2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t="s">
        <v>43</v>
      </c>
      <c r="N39">
        <v>2</v>
      </c>
      <c r="O39" s="3">
        <v>1252</v>
      </c>
      <c r="P39" s="3">
        <v>2295</v>
      </c>
      <c r="Q39" s="3">
        <v>2086</v>
      </c>
      <c r="R39" s="3">
        <v>2504</v>
      </c>
      <c r="S39" s="3">
        <v>4590</v>
      </c>
    </row>
    <row r="40" spans="1:19" x14ac:dyDescent="0.3">
      <c r="A40" s="1" t="s">
        <v>95</v>
      </c>
      <c r="B40" s="2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t="s">
        <v>32</v>
      </c>
      <c r="N40">
        <v>1</v>
      </c>
      <c r="O40" s="3">
        <v>1266</v>
      </c>
      <c r="P40" s="3">
        <v>2320</v>
      </c>
      <c r="Q40" s="3">
        <v>1054</v>
      </c>
      <c r="R40" s="3">
        <v>1266</v>
      </c>
      <c r="S40" s="3">
        <v>2320</v>
      </c>
    </row>
    <row r="41" spans="1:19" x14ac:dyDescent="0.3">
      <c r="A41" s="1" t="s">
        <v>96</v>
      </c>
      <c r="B41" s="2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t="s">
        <v>32</v>
      </c>
      <c r="N41">
        <v>1</v>
      </c>
      <c r="O41" s="3">
        <v>1266</v>
      </c>
      <c r="P41" s="3">
        <v>2320</v>
      </c>
      <c r="Q41" s="3">
        <v>1054</v>
      </c>
      <c r="R41" s="3">
        <v>1266</v>
      </c>
      <c r="S41" s="3">
        <v>2320</v>
      </c>
    </row>
    <row r="42" spans="1:19" x14ac:dyDescent="0.3">
      <c r="A42" s="1" t="s">
        <v>97</v>
      </c>
      <c r="B42" s="2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t="s">
        <v>32</v>
      </c>
      <c r="N42">
        <v>3</v>
      </c>
      <c r="O42" s="3">
        <v>1266</v>
      </c>
      <c r="P42" s="3">
        <v>2320</v>
      </c>
      <c r="Q42" s="3">
        <v>3162</v>
      </c>
      <c r="R42" s="3">
        <v>3798</v>
      </c>
      <c r="S42" s="3">
        <v>6960</v>
      </c>
    </row>
    <row r="43" spans="1:19" x14ac:dyDescent="0.3">
      <c r="A43" s="1" t="s">
        <v>98</v>
      </c>
      <c r="B43" s="2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99</v>
      </c>
      <c r="N43">
        <v>1</v>
      </c>
      <c r="O43" s="3">
        <v>308</v>
      </c>
      <c r="P43" s="3">
        <v>565</v>
      </c>
      <c r="Q43" s="3">
        <v>257</v>
      </c>
      <c r="R43" s="3">
        <v>308</v>
      </c>
      <c r="S43" s="3">
        <v>565</v>
      </c>
    </row>
    <row r="44" spans="1:19" x14ac:dyDescent="0.3">
      <c r="A44" s="1" t="s">
        <v>100</v>
      </c>
      <c r="B44" s="2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t="s">
        <v>43</v>
      </c>
      <c r="N44">
        <v>1</v>
      </c>
      <c r="O44" s="3">
        <v>1252</v>
      </c>
      <c r="P44" s="3">
        <v>2295</v>
      </c>
      <c r="Q44" s="3">
        <v>1043</v>
      </c>
      <c r="R44" s="3">
        <v>1252</v>
      </c>
      <c r="S44" s="3">
        <v>2295</v>
      </c>
    </row>
    <row r="45" spans="1:19" x14ac:dyDescent="0.3">
      <c r="A45" s="1" t="s">
        <v>101</v>
      </c>
      <c r="B45" s="2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t="s">
        <v>43</v>
      </c>
      <c r="N45">
        <v>1</v>
      </c>
      <c r="O45" s="3">
        <v>1252</v>
      </c>
      <c r="P45" s="3">
        <v>2295</v>
      </c>
      <c r="Q45" s="3">
        <v>1043</v>
      </c>
      <c r="R45" s="3">
        <v>1252</v>
      </c>
      <c r="S45" s="3">
        <v>2295</v>
      </c>
    </row>
    <row r="46" spans="1:19" x14ac:dyDescent="0.3">
      <c r="A46" s="1" t="s">
        <v>102</v>
      </c>
      <c r="B46" s="2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t="s">
        <v>53</v>
      </c>
      <c r="N46">
        <v>2</v>
      </c>
      <c r="O46" s="3">
        <v>1266</v>
      </c>
      <c r="P46" s="3">
        <v>2320</v>
      </c>
      <c r="Q46" s="3">
        <v>2108</v>
      </c>
      <c r="R46" s="3">
        <v>2532</v>
      </c>
      <c r="S46" s="3">
        <v>4640</v>
      </c>
    </row>
    <row r="47" spans="1:19" x14ac:dyDescent="0.3">
      <c r="A47" s="1" t="s">
        <v>103</v>
      </c>
      <c r="B47" s="2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>
        <v>1</v>
      </c>
      <c r="O47" s="3">
        <v>1252</v>
      </c>
      <c r="P47" s="3">
        <v>2295</v>
      </c>
      <c r="Q47" s="3">
        <v>1043</v>
      </c>
      <c r="R47" s="3">
        <v>1252</v>
      </c>
      <c r="S47" s="3">
        <v>2295</v>
      </c>
    </row>
    <row r="48" spans="1:19" x14ac:dyDescent="0.3">
      <c r="A48" s="1" t="s">
        <v>104</v>
      </c>
      <c r="B48" s="2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t="s">
        <v>34</v>
      </c>
      <c r="N48">
        <v>1</v>
      </c>
      <c r="O48" s="3">
        <v>420</v>
      </c>
      <c r="P48" s="3">
        <v>769</v>
      </c>
      <c r="Q48" s="3">
        <v>349</v>
      </c>
      <c r="R48" s="3">
        <v>420</v>
      </c>
      <c r="S48" s="3">
        <v>769</v>
      </c>
    </row>
    <row r="49" spans="1:19" x14ac:dyDescent="0.3">
      <c r="A49" s="1" t="s">
        <v>105</v>
      </c>
      <c r="B49" s="2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32</v>
      </c>
      <c r="N49">
        <v>1</v>
      </c>
      <c r="O49" s="3">
        <v>1266</v>
      </c>
      <c r="P49" s="3">
        <v>2320</v>
      </c>
      <c r="Q49" s="3">
        <v>1054</v>
      </c>
      <c r="R49" s="3">
        <v>1266</v>
      </c>
      <c r="S49" s="3">
        <v>2320</v>
      </c>
    </row>
    <row r="50" spans="1:19" x14ac:dyDescent="0.3">
      <c r="A50" s="1" t="s">
        <v>106</v>
      </c>
      <c r="B50" s="2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t="s">
        <v>43</v>
      </c>
      <c r="N50">
        <v>2</v>
      </c>
      <c r="O50" s="3">
        <v>1252</v>
      </c>
      <c r="P50" s="3">
        <v>2295</v>
      </c>
      <c r="Q50" s="3">
        <v>2086</v>
      </c>
      <c r="R50" s="3">
        <v>2504</v>
      </c>
      <c r="S50" s="3">
        <v>4590</v>
      </c>
    </row>
    <row r="51" spans="1:19" x14ac:dyDescent="0.3">
      <c r="A51" s="1" t="s">
        <v>107</v>
      </c>
      <c r="B51" s="2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t="s">
        <v>43</v>
      </c>
      <c r="N51">
        <v>2</v>
      </c>
      <c r="O51" s="3">
        <v>1252</v>
      </c>
      <c r="P51" s="3">
        <v>2295</v>
      </c>
      <c r="Q51" s="3">
        <v>2086</v>
      </c>
      <c r="R51" s="3">
        <v>2504</v>
      </c>
      <c r="S51" s="3">
        <v>4590</v>
      </c>
    </row>
    <row r="52" spans="1:19" x14ac:dyDescent="0.3">
      <c r="A52" s="1" t="s">
        <v>108</v>
      </c>
      <c r="B52" s="2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t="s">
        <v>110</v>
      </c>
      <c r="N52">
        <v>1</v>
      </c>
      <c r="O52" s="3">
        <v>1266</v>
      </c>
      <c r="P52" s="3">
        <v>2320</v>
      </c>
      <c r="Q52" s="3">
        <v>1054</v>
      </c>
      <c r="R52" s="3">
        <v>1266</v>
      </c>
      <c r="S52" s="3">
        <v>2320</v>
      </c>
    </row>
    <row r="53" spans="1:19" x14ac:dyDescent="0.3">
      <c r="A53" s="1" t="s">
        <v>111</v>
      </c>
      <c r="B53" s="2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t="s">
        <v>53</v>
      </c>
      <c r="N53">
        <v>2</v>
      </c>
      <c r="O53" s="3">
        <v>1266</v>
      </c>
      <c r="P53" s="3">
        <v>2320</v>
      </c>
      <c r="Q53" s="3">
        <v>2108</v>
      </c>
      <c r="R53" s="3">
        <v>2532</v>
      </c>
      <c r="S53" s="3">
        <v>4640</v>
      </c>
    </row>
    <row r="54" spans="1:19" x14ac:dyDescent="0.3">
      <c r="A54" s="1" t="s">
        <v>112</v>
      </c>
      <c r="B54" s="2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t="s">
        <v>39</v>
      </c>
      <c r="N54">
        <v>1</v>
      </c>
      <c r="O54" s="3">
        <v>420</v>
      </c>
      <c r="P54" s="3">
        <v>769</v>
      </c>
      <c r="Q54" s="3">
        <v>349</v>
      </c>
      <c r="R54" s="3">
        <v>420</v>
      </c>
      <c r="S54" s="3">
        <v>769</v>
      </c>
    </row>
    <row r="55" spans="1:19" x14ac:dyDescent="0.3">
      <c r="A55" s="1" t="s">
        <v>113</v>
      </c>
      <c r="B55" s="2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t="s">
        <v>110</v>
      </c>
      <c r="N55">
        <v>1</v>
      </c>
      <c r="O55" s="3">
        <v>1266</v>
      </c>
      <c r="P55" s="3">
        <v>2320</v>
      </c>
      <c r="Q55" s="3">
        <v>1054</v>
      </c>
      <c r="R55" s="3">
        <v>1266</v>
      </c>
      <c r="S55" s="3">
        <v>2320</v>
      </c>
    </row>
    <row r="56" spans="1:19" x14ac:dyDescent="0.3">
      <c r="A56" s="1" t="s">
        <v>114</v>
      </c>
      <c r="B56" s="2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t="s">
        <v>66</v>
      </c>
      <c r="N56">
        <v>4</v>
      </c>
      <c r="O56" s="3">
        <v>308</v>
      </c>
      <c r="P56" s="3">
        <v>565</v>
      </c>
      <c r="Q56" s="3">
        <v>1028</v>
      </c>
      <c r="R56" s="3">
        <v>1232</v>
      </c>
      <c r="S56" s="3">
        <v>2260</v>
      </c>
    </row>
    <row r="57" spans="1:19" x14ac:dyDescent="0.3">
      <c r="A57" s="1" t="s">
        <v>115</v>
      </c>
      <c r="B57" s="2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t="s">
        <v>110</v>
      </c>
      <c r="N57">
        <v>4</v>
      </c>
      <c r="O57" s="3">
        <v>1266</v>
      </c>
      <c r="P57" s="3">
        <v>2320</v>
      </c>
      <c r="Q57" s="3">
        <v>4216</v>
      </c>
      <c r="R57" s="3">
        <v>5064</v>
      </c>
      <c r="S57" s="3">
        <v>9280</v>
      </c>
    </row>
    <row r="58" spans="1:19" x14ac:dyDescent="0.3">
      <c r="A58" s="1" t="s">
        <v>116</v>
      </c>
      <c r="B58" s="2">
        <v>44548</v>
      </c>
      <c r="C58">
        <v>18</v>
      </c>
      <c r="D58" t="s">
        <v>20</v>
      </c>
      <c r="E58">
        <v>2021</v>
      </c>
      <c r="F58">
        <v>24</v>
      </c>
      <c r="G5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t="s">
        <v>53</v>
      </c>
      <c r="N58">
        <v>3</v>
      </c>
      <c r="O58" s="3">
        <v>1266</v>
      </c>
      <c r="P58" s="3">
        <v>2320</v>
      </c>
      <c r="Q58" s="3">
        <v>3162</v>
      </c>
      <c r="R58" s="3">
        <v>3798</v>
      </c>
      <c r="S58" s="3">
        <v>6960</v>
      </c>
    </row>
    <row r="59" spans="1:19" x14ac:dyDescent="0.3">
      <c r="A59" s="1" t="s">
        <v>118</v>
      </c>
      <c r="B59" s="2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t="s">
        <v>39</v>
      </c>
      <c r="N59">
        <v>3</v>
      </c>
      <c r="O59" s="3">
        <v>420</v>
      </c>
      <c r="P59" s="3">
        <v>769</v>
      </c>
      <c r="Q59" s="3">
        <v>1047</v>
      </c>
      <c r="R59" s="3">
        <v>1260</v>
      </c>
      <c r="S59" s="3">
        <v>2307</v>
      </c>
    </row>
    <row r="60" spans="1:19" x14ac:dyDescent="0.3">
      <c r="A60" s="1" t="s">
        <v>119</v>
      </c>
      <c r="B60" s="2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t="s">
        <v>60</v>
      </c>
      <c r="N60">
        <v>3</v>
      </c>
      <c r="O60" s="3">
        <v>1252</v>
      </c>
      <c r="P60" s="3">
        <v>2295</v>
      </c>
      <c r="Q60" s="3">
        <v>3129</v>
      </c>
      <c r="R60" s="3">
        <v>3756</v>
      </c>
      <c r="S60" s="3">
        <v>6885</v>
      </c>
    </row>
    <row r="61" spans="1:19" x14ac:dyDescent="0.3">
      <c r="A61" s="1" t="s">
        <v>120</v>
      </c>
      <c r="B61" s="2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t="s">
        <v>27</v>
      </c>
      <c r="N61">
        <v>1</v>
      </c>
      <c r="O61" s="3">
        <v>1252</v>
      </c>
      <c r="P61" s="3">
        <v>2295</v>
      </c>
      <c r="Q61" s="3">
        <v>1043</v>
      </c>
      <c r="R61" s="3">
        <v>1252</v>
      </c>
      <c r="S61" s="3">
        <v>2295</v>
      </c>
    </row>
    <row r="62" spans="1:19" x14ac:dyDescent="0.3">
      <c r="A62" s="1" t="s">
        <v>121</v>
      </c>
      <c r="B62" s="2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t="s">
        <v>53</v>
      </c>
      <c r="N62">
        <v>1</v>
      </c>
      <c r="O62" s="3">
        <v>1266</v>
      </c>
      <c r="P62" s="3">
        <v>2320</v>
      </c>
      <c r="Q62" s="3">
        <v>1054</v>
      </c>
      <c r="R62" s="3">
        <v>1266</v>
      </c>
      <c r="S62" s="3">
        <v>2320</v>
      </c>
    </row>
    <row r="63" spans="1:19" x14ac:dyDescent="0.3">
      <c r="A63" s="1" t="s">
        <v>122</v>
      </c>
      <c r="B63" s="2">
        <v>44549</v>
      </c>
      <c r="C63">
        <v>19</v>
      </c>
      <c r="D63" t="s">
        <v>20</v>
      </c>
      <c r="E63">
        <v>2021</v>
      </c>
      <c r="F63">
        <v>17</v>
      </c>
      <c r="G63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t="s">
        <v>110</v>
      </c>
      <c r="N63">
        <v>4</v>
      </c>
      <c r="O63" s="3">
        <v>1266</v>
      </c>
      <c r="P63" s="3">
        <v>2320</v>
      </c>
      <c r="Q63" s="3">
        <v>4216</v>
      </c>
      <c r="R63" s="3">
        <v>5064</v>
      </c>
      <c r="S63" s="3">
        <v>9280</v>
      </c>
    </row>
    <row r="64" spans="1:19" x14ac:dyDescent="0.3">
      <c r="A64" s="1" t="s">
        <v>124</v>
      </c>
      <c r="B64" s="2">
        <v>44549</v>
      </c>
      <c r="C64">
        <v>19</v>
      </c>
      <c r="D64" t="s">
        <v>20</v>
      </c>
      <c r="E64">
        <v>2021</v>
      </c>
      <c r="F64">
        <v>19</v>
      </c>
      <c r="G64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t="s">
        <v>125</v>
      </c>
      <c r="N64">
        <v>4</v>
      </c>
      <c r="O64" s="3">
        <v>295</v>
      </c>
      <c r="P64" s="3">
        <v>540</v>
      </c>
      <c r="Q64" s="3">
        <v>980</v>
      </c>
      <c r="R64" s="3">
        <v>1180</v>
      </c>
      <c r="S64" s="3">
        <v>2160</v>
      </c>
    </row>
    <row r="65" spans="1:19" x14ac:dyDescent="0.3">
      <c r="A65" s="1" t="s">
        <v>126</v>
      </c>
      <c r="B65" s="2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t="s">
        <v>43</v>
      </c>
      <c r="N65">
        <v>4</v>
      </c>
      <c r="O65" s="3">
        <v>1252</v>
      </c>
      <c r="P65" s="3">
        <v>2295</v>
      </c>
      <c r="Q65" s="3">
        <v>4172</v>
      </c>
      <c r="R65" s="3">
        <v>5008</v>
      </c>
      <c r="S65" s="3">
        <v>9180</v>
      </c>
    </row>
    <row r="66" spans="1:19" x14ac:dyDescent="0.3">
      <c r="A66" s="1" t="s">
        <v>127</v>
      </c>
      <c r="B66" s="2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t="s">
        <v>128</v>
      </c>
      <c r="N66">
        <v>4</v>
      </c>
      <c r="O66" s="3">
        <v>1898</v>
      </c>
      <c r="P66" s="3">
        <v>3375</v>
      </c>
      <c r="Q66" s="3">
        <v>5908</v>
      </c>
      <c r="R66" s="3">
        <v>7592</v>
      </c>
      <c r="S66" s="3">
        <v>13500</v>
      </c>
    </row>
    <row r="67" spans="1:19" x14ac:dyDescent="0.3">
      <c r="A67" s="1" t="s">
        <v>129</v>
      </c>
      <c r="B67" s="2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t="s">
        <v>43</v>
      </c>
      <c r="N67">
        <v>4</v>
      </c>
      <c r="O67" s="3">
        <v>1252</v>
      </c>
      <c r="P67" s="3">
        <v>2295</v>
      </c>
      <c r="Q67" s="3">
        <v>4172</v>
      </c>
      <c r="R67" s="3">
        <v>5008</v>
      </c>
      <c r="S67" s="3">
        <v>9180</v>
      </c>
    </row>
    <row r="68" spans="1:19" x14ac:dyDescent="0.3">
      <c r="A68" s="1" t="s">
        <v>130</v>
      </c>
      <c r="B68" s="2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>
        <v>4</v>
      </c>
      <c r="O68" s="3">
        <v>1252</v>
      </c>
      <c r="P68" s="3">
        <v>2295</v>
      </c>
      <c r="Q68" s="3">
        <v>4172</v>
      </c>
      <c r="R68" s="3">
        <v>5008</v>
      </c>
      <c r="S68" s="3">
        <v>9180</v>
      </c>
    </row>
    <row r="69" spans="1:19" x14ac:dyDescent="0.3">
      <c r="A69" s="1" t="s">
        <v>131</v>
      </c>
      <c r="B69" s="2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t="s">
        <v>27</v>
      </c>
      <c r="N69">
        <v>4</v>
      </c>
      <c r="O69" s="3">
        <v>1252</v>
      </c>
      <c r="P69" s="3">
        <v>2295</v>
      </c>
      <c r="Q69" s="3">
        <v>4172</v>
      </c>
      <c r="R69" s="3">
        <v>5008</v>
      </c>
      <c r="S69" s="3">
        <v>9180</v>
      </c>
    </row>
    <row r="70" spans="1:19" x14ac:dyDescent="0.3">
      <c r="A70" s="1" t="s">
        <v>132</v>
      </c>
      <c r="B70" s="2">
        <v>44549</v>
      </c>
      <c r="C70">
        <v>19</v>
      </c>
      <c r="D70" t="s">
        <v>20</v>
      </c>
      <c r="E70">
        <v>2021</v>
      </c>
      <c r="F70">
        <v>18</v>
      </c>
      <c r="G70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t="s">
        <v>81</v>
      </c>
      <c r="N70">
        <v>2</v>
      </c>
      <c r="O70" s="3">
        <v>295</v>
      </c>
      <c r="P70" s="3">
        <v>540</v>
      </c>
      <c r="Q70" s="3">
        <v>490</v>
      </c>
      <c r="R70" s="3">
        <v>590</v>
      </c>
      <c r="S70" s="3">
        <v>1080</v>
      </c>
    </row>
    <row r="71" spans="1:19" x14ac:dyDescent="0.3">
      <c r="A71" s="1" t="s">
        <v>134</v>
      </c>
      <c r="B71" s="2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t="s">
        <v>27</v>
      </c>
      <c r="N71">
        <v>2</v>
      </c>
      <c r="O71" s="3">
        <v>1252</v>
      </c>
      <c r="P71" s="3">
        <v>2295</v>
      </c>
      <c r="Q71" s="3">
        <v>2086</v>
      </c>
      <c r="R71" s="3">
        <v>2504</v>
      </c>
      <c r="S71" s="3">
        <v>4590</v>
      </c>
    </row>
    <row r="72" spans="1:19" x14ac:dyDescent="0.3">
      <c r="A72" s="1" t="s">
        <v>136</v>
      </c>
      <c r="B72" s="2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t="s">
        <v>53</v>
      </c>
      <c r="N72">
        <v>1</v>
      </c>
      <c r="O72" s="3">
        <v>1266</v>
      </c>
      <c r="P72" s="3">
        <v>2320</v>
      </c>
      <c r="Q72" s="3">
        <v>1054</v>
      </c>
      <c r="R72" s="3">
        <v>1266</v>
      </c>
      <c r="S72" s="3">
        <v>2320</v>
      </c>
    </row>
    <row r="73" spans="1:19" x14ac:dyDescent="0.3">
      <c r="A73" s="1" t="s">
        <v>137</v>
      </c>
      <c r="B73" s="2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t="s">
        <v>74</v>
      </c>
      <c r="N73">
        <v>4</v>
      </c>
      <c r="O73" s="3">
        <v>1898</v>
      </c>
      <c r="P73" s="3">
        <v>3375</v>
      </c>
      <c r="Q73" s="3">
        <v>5908</v>
      </c>
      <c r="R73" s="3">
        <v>7592</v>
      </c>
      <c r="S73" s="3">
        <v>13500</v>
      </c>
    </row>
    <row r="74" spans="1:19" x14ac:dyDescent="0.3">
      <c r="A74" s="1" t="s">
        <v>138</v>
      </c>
      <c r="B74" s="2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t="s">
        <v>27</v>
      </c>
      <c r="N74">
        <v>4</v>
      </c>
      <c r="O74" s="3">
        <v>1252</v>
      </c>
      <c r="P74" s="3">
        <v>2295</v>
      </c>
      <c r="Q74" s="3">
        <v>4172</v>
      </c>
      <c r="R74" s="3">
        <v>5008</v>
      </c>
      <c r="S74" s="3">
        <v>9180</v>
      </c>
    </row>
    <row r="75" spans="1:19" x14ac:dyDescent="0.3">
      <c r="A75" s="1" t="s">
        <v>139</v>
      </c>
      <c r="B75" s="2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t="s">
        <v>140</v>
      </c>
      <c r="N75">
        <v>3</v>
      </c>
      <c r="O75" s="3">
        <v>295</v>
      </c>
      <c r="P75" s="3">
        <v>540</v>
      </c>
      <c r="Q75" s="3">
        <v>735</v>
      </c>
      <c r="R75" s="3">
        <v>885</v>
      </c>
      <c r="S75" s="3">
        <v>1620</v>
      </c>
    </row>
    <row r="76" spans="1:19" x14ac:dyDescent="0.3">
      <c r="A76" s="1" t="s">
        <v>141</v>
      </c>
      <c r="B76" s="2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t="s">
        <v>53</v>
      </c>
      <c r="N76">
        <v>1</v>
      </c>
      <c r="O76" s="3">
        <v>1266</v>
      </c>
      <c r="P76" s="3">
        <v>2320</v>
      </c>
      <c r="Q76" s="3">
        <v>1054</v>
      </c>
      <c r="R76" s="3">
        <v>1266</v>
      </c>
      <c r="S76" s="3">
        <v>2320</v>
      </c>
    </row>
    <row r="77" spans="1:19" x14ac:dyDescent="0.3">
      <c r="A77" s="1" t="s">
        <v>142</v>
      </c>
      <c r="B77" s="2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t="s">
        <v>53</v>
      </c>
      <c r="N77">
        <v>1</v>
      </c>
      <c r="O77" s="3">
        <v>1266</v>
      </c>
      <c r="P77" s="3">
        <v>2320</v>
      </c>
      <c r="Q77" s="3">
        <v>1054</v>
      </c>
      <c r="R77" s="3">
        <v>1266</v>
      </c>
      <c r="S77" s="3">
        <v>2320</v>
      </c>
    </row>
    <row r="78" spans="1:19" x14ac:dyDescent="0.3">
      <c r="A78" s="1" t="s">
        <v>143</v>
      </c>
      <c r="B78" s="2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t="s">
        <v>53</v>
      </c>
      <c r="N78">
        <v>3</v>
      </c>
      <c r="O78" s="3">
        <v>1266</v>
      </c>
      <c r="P78" s="3">
        <v>2320</v>
      </c>
      <c r="Q78" s="3">
        <v>3162</v>
      </c>
      <c r="R78" s="3">
        <v>3798</v>
      </c>
      <c r="S78" s="3">
        <v>6960</v>
      </c>
    </row>
    <row r="79" spans="1:19" x14ac:dyDescent="0.3">
      <c r="A79" s="1" t="s">
        <v>145</v>
      </c>
      <c r="B79" s="2">
        <v>44551</v>
      </c>
      <c r="C79">
        <v>21</v>
      </c>
      <c r="D79" t="s">
        <v>20</v>
      </c>
      <c r="E79">
        <v>2021</v>
      </c>
      <c r="F79">
        <v>23</v>
      </c>
      <c r="G79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t="s">
        <v>34</v>
      </c>
      <c r="N79">
        <v>2</v>
      </c>
      <c r="O79" s="3">
        <v>420</v>
      </c>
      <c r="P79" s="3">
        <v>769</v>
      </c>
      <c r="Q79" s="3">
        <v>698</v>
      </c>
      <c r="R79" s="3">
        <v>840</v>
      </c>
      <c r="S79" s="3">
        <v>1538</v>
      </c>
    </row>
    <row r="80" spans="1:19" x14ac:dyDescent="0.3">
      <c r="A80" s="1" t="s">
        <v>146</v>
      </c>
      <c r="B80" s="2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t="s">
        <v>53</v>
      </c>
      <c r="N80">
        <v>3</v>
      </c>
      <c r="O80" s="3">
        <v>1266</v>
      </c>
      <c r="P80" s="3">
        <v>2320</v>
      </c>
      <c r="Q80" s="3">
        <v>3162</v>
      </c>
      <c r="R80" s="3">
        <v>3798</v>
      </c>
      <c r="S80" s="3">
        <v>6960</v>
      </c>
    </row>
    <row r="81" spans="1:19" x14ac:dyDescent="0.3">
      <c r="A81" s="1" t="s">
        <v>147</v>
      </c>
      <c r="B81" s="2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t="s">
        <v>60</v>
      </c>
      <c r="N81">
        <v>3</v>
      </c>
      <c r="O81" s="3">
        <v>1252</v>
      </c>
      <c r="P81" s="3">
        <v>2295</v>
      </c>
      <c r="Q81" s="3">
        <v>3129</v>
      </c>
      <c r="R81" s="3">
        <v>3756</v>
      </c>
      <c r="S81" s="3">
        <v>6885</v>
      </c>
    </row>
    <row r="82" spans="1:19" x14ac:dyDescent="0.3">
      <c r="A82" s="1" t="s">
        <v>148</v>
      </c>
      <c r="B82" s="2">
        <v>44552</v>
      </c>
      <c r="C82">
        <v>22</v>
      </c>
      <c r="D82" t="s">
        <v>20</v>
      </c>
      <c r="E82">
        <v>2021</v>
      </c>
      <c r="F82">
        <v>19</v>
      </c>
      <c r="G82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t="s">
        <v>66</v>
      </c>
      <c r="N82">
        <v>1</v>
      </c>
      <c r="O82" s="3">
        <v>308</v>
      </c>
      <c r="P82" s="3">
        <v>565</v>
      </c>
      <c r="Q82" s="3">
        <v>257</v>
      </c>
      <c r="R82" s="3">
        <v>308</v>
      </c>
      <c r="S82" s="3">
        <v>565</v>
      </c>
    </row>
    <row r="83" spans="1:19" x14ac:dyDescent="0.3">
      <c r="A83" s="1" t="s">
        <v>149</v>
      </c>
      <c r="B83" s="2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t="s">
        <v>43</v>
      </c>
      <c r="N83">
        <v>1</v>
      </c>
      <c r="O83" s="3">
        <v>1252</v>
      </c>
      <c r="P83" s="3">
        <v>2295</v>
      </c>
      <c r="Q83" s="3">
        <v>1043</v>
      </c>
      <c r="R83" s="3">
        <v>1252</v>
      </c>
      <c r="S83" s="3">
        <v>2295</v>
      </c>
    </row>
    <row r="84" spans="1:19" x14ac:dyDescent="0.3">
      <c r="A84" s="1" t="s">
        <v>150</v>
      </c>
      <c r="B84" s="2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t="s">
        <v>27</v>
      </c>
      <c r="N84">
        <v>1</v>
      </c>
      <c r="O84" s="3">
        <v>1252</v>
      </c>
      <c r="P84" s="3">
        <v>2295</v>
      </c>
      <c r="Q84" s="3">
        <v>1043</v>
      </c>
      <c r="R84" s="3">
        <v>1252</v>
      </c>
      <c r="S84" s="3">
        <v>2295</v>
      </c>
    </row>
    <row r="85" spans="1:19" x14ac:dyDescent="0.3">
      <c r="A85" s="1" t="s">
        <v>151</v>
      </c>
      <c r="B85" s="2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t="s">
        <v>53</v>
      </c>
      <c r="N85">
        <v>1</v>
      </c>
      <c r="O85" s="3">
        <v>1266</v>
      </c>
      <c r="P85" s="3">
        <v>2320</v>
      </c>
      <c r="Q85" s="3">
        <v>1054</v>
      </c>
      <c r="R85" s="3">
        <v>1266</v>
      </c>
      <c r="S85" s="3">
        <v>2320</v>
      </c>
    </row>
    <row r="86" spans="1:19" x14ac:dyDescent="0.3">
      <c r="A86" s="1" t="s">
        <v>152</v>
      </c>
      <c r="B86" s="2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t="s">
        <v>32</v>
      </c>
      <c r="N86">
        <v>1</v>
      </c>
      <c r="O86" s="3">
        <v>1266</v>
      </c>
      <c r="P86" s="3">
        <v>2320</v>
      </c>
      <c r="Q86" s="3">
        <v>1054</v>
      </c>
      <c r="R86" s="3">
        <v>1266</v>
      </c>
      <c r="S86" s="3">
        <v>2320</v>
      </c>
    </row>
    <row r="87" spans="1:19" x14ac:dyDescent="0.3">
      <c r="A87" s="1" t="s">
        <v>153</v>
      </c>
      <c r="B87" s="2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t="s">
        <v>60</v>
      </c>
      <c r="N87">
        <v>1</v>
      </c>
      <c r="O87" s="3">
        <v>1252</v>
      </c>
      <c r="P87" s="3">
        <v>2295</v>
      </c>
      <c r="Q87" s="3">
        <v>1043</v>
      </c>
      <c r="R87" s="3">
        <v>1252</v>
      </c>
      <c r="S87" s="3">
        <v>2295</v>
      </c>
    </row>
    <row r="88" spans="1:19" x14ac:dyDescent="0.3">
      <c r="A88" s="1" t="s">
        <v>154</v>
      </c>
      <c r="B88" s="2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71</v>
      </c>
      <c r="N88">
        <v>1</v>
      </c>
      <c r="O88" s="3">
        <v>295</v>
      </c>
      <c r="P88" s="3">
        <v>540</v>
      </c>
      <c r="Q88" s="3">
        <v>245</v>
      </c>
      <c r="R88" s="3">
        <v>295</v>
      </c>
      <c r="S88" s="3">
        <v>540</v>
      </c>
    </row>
    <row r="89" spans="1:19" x14ac:dyDescent="0.3">
      <c r="A89" s="1" t="s">
        <v>155</v>
      </c>
      <c r="B89" s="2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t="s">
        <v>60</v>
      </c>
      <c r="N89">
        <v>4</v>
      </c>
      <c r="O89" s="3">
        <v>1252</v>
      </c>
      <c r="P89" s="3">
        <v>2295</v>
      </c>
      <c r="Q89" s="3">
        <v>4172</v>
      </c>
      <c r="R89" s="3">
        <v>5008</v>
      </c>
      <c r="S89" s="3">
        <v>9180</v>
      </c>
    </row>
  </sheetData>
  <autoFilter ref="M1:M89" xr:uid="{0FE591C3-8010-4504-8E23-C644AE62A4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1C7D-8A75-46A7-90FA-4632DF9A9EB4}">
  <dimension ref="A1:K89"/>
  <sheetViews>
    <sheetView topLeftCell="B1" workbookViewId="0">
      <selection activeCell="I6" sqref="I6"/>
    </sheetView>
  </sheetViews>
  <sheetFormatPr defaultRowHeight="14.4" x14ac:dyDescent="0.3"/>
  <cols>
    <col min="1" max="1" width="13.21875" customWidth="1"/>
    <col min="2" max="2" width="22.88671875" customWidth="1"/>
    <col min="4" max="4" width="35.88671875" customWidth="1"/>
    <col min="5" max="5" width="8.77734375" customWidth="1"/>
    <col min="6" max="6" width="22.21875" customWidth="1"/>
    <col min="7" max="7" width="20.33203125" customWidth="1"/>
    <col min="8" max="8" width="19.21875" customWidth="1"/>
    <col min="10" max="10" width="34.21875" customWidth="1"/>
    <col min="11" max="11" width="27.77734375" customWidth="1"/>
    <col min="12" max="12" width="17.44140625" customWidth="1"/>
    <col min="13" max="13" width="14.109375" customWidth="1"/>
  </cols>
  <sheetData>
    <row r="1" spans="1:11" x14ac:dyDescent="0.3">
      <c r="A1" s="4" t="s">
        <v>166</v>
      </c>
      <c r="B1" s="4" t="s">
        <v>167</v>
      </c>
      <c r="D1" s="4" t="s">
        <v>165</v>
      </c>
      <c r="F1" s="4" t="s">
        <v>164</v>
      </c>
      <c r="G1" s="4" t="s">
        <v>163</v>
      </c>
      <c r="H1" s="4" t="s">
        <v>162</v>
      </c>
      <c r="J1" s="4" t="s">
        <v>160</v>
      </c>
      <c r="K1" s="4" t="s">
        <v>159</v>
      </c>
    </row>
    <row r="2" spans="1:11" x14ac:dyDescent="0.3">
      <c r="A2" t="s">
        <v>161</v>
      </c>
      <c r="B2" s="3">
        <f>AVERAGEIF(Bike_Sales_Functions_Lab!G2:G89,"Youth (&lt;25)",Bike_Sales_Functions_Lab!S2:S89)</f>
        <v>3533</v>
      </c>
      <c r="D2" t="str">
        <f>CONCATENATE(Bike_Sales_Functions_Lab!A2,": ", Bike_Sales_Functions_Lab!N2," ",Bike_Sales_Functions_Lab!L2," - ",TEXT(Bike_Sales_Functions_Lab!B2,"mm/dd/yyyy"))</f>
        <v>000261695: 4 Mountain Bikes - 12/01/2021</v>
      </c>
      <c r="F2" t="str">
        <f>LEFT(Bike_Sales_Functions_Lab!M2,12)</f>
        <v>Mountain-200</v>
      </c>
      <c r="G2" t="str">
        <f>MID(Bike_Sales_Functions_Lab!M2,13,6)</f>
        <v xml:space="preserve"> Black</v>
      </c>
      <c r="H2" t="str">
        <f>RIGHT(Bike_Sales_Functions_Lab!M2, 2)</f>
        <v>46</v>
      </c>
      <c r="J2" s="3">
        <f>_xlfn.MINIFS(Bike_Sales_Functions_Lab!S2:S89, Bike_Sales_Functions_Lab!I2:I89, "Australia")</f>
        <v>565</v>
      </c>
      <c r="K2" s="3">
        <f>_xlfn.MAXIFS(Bike_Sales_Functions_Lab!S2:S89, Bike_Sales_Functions_Lab!I2:I89, "Australia")</f>
        <v>13500</v>
      </c>
    </row>
    <row r="3" spans="1:11" x14ac:dyDescent="0.3">
      <c r="A3" t="s">
        <v>158</v>
      </c>
      <c r="B3" s="3">
        <f>AVERAGEIF(Bike_Sales_Functions_Lab!G2:G89,"Young Adults (25-34)",Bike_Sales_Functions_Lab!S2:S89)</f>
        <v>3859.5483870967741</v>
      </c>
      <c r="D3" t="str">
        <f>CONCATENATE(Bike_Sales_Functions_Lab!A3,": ", Bike_Sales_Functions_Lab!N3," ",Bike_Sales_Functions_Lab!L3," - ",TEXT(Bike_Sales_Functions_Lab!B3,"mm/dd/yyyy"))</f>
        <v>000261696: 1 Mountain Bikes - 12/01/2021</v>
      </c>
      <c r="F3" t="str">
        <f>LEFT(Bike_Sales_Functions_Lab!M3,12)</f>
        <v>Mountain-200</v>
      </c>
      <c r="G3" t="str">
        <f>MID(Bike_Sales_Functions_Lab!M3,13,7)</f>
        <v xml:space="preserve"> Silver</v>
      </c>
      <c r="H3" t="str">
        <f>RIGHT(Bike_Sales_Functions_Lab!M3, 2)</f>
        <v>42</v>
      </c>
    </row>
    <row r="4" spans="1:11" x14ac:dyDescent="0.3">
      <c r="A4" t="s">
        <v>157</v>
      </c>
      <c r="B4" s="3">
        <f>AVERAGEIF(Bike_Sales_Functions_Lab!G2:G89,"Adults (35-64)",Bike_Sales_Functions_Lab!S2:S89)</f>
        <v>4388.4255319148933</v>
      </c>
      <c r="D4" t="str">
        <f>CONCATENATE(Bike_Sales_Functions_Lab!A4,": ", Bike_Sales_Functions_Lab!N4," ",Bike_Sales_Functions_Lab!L4," - ",TEXT(Bike_Sales_Functions_Lab!B4,"mm/dd/yyyy"))</f>
        <v>000261697: 2 Mountain Bikes - 12/02/2021</v>
      </c>
      <c r="F4" t="str">
        <f>LEFT(Bike_Sales_Functions_Lab!M4,14)</f>
        <v>Mountain-400-W</v>
      </c>
      <c r="G4" t="str">
        <f>MID(Bike_Sales_Functions_Lab!M4,16,6)</f>
        <v>Silver</v>
      </c>
      <c r="H4" t="str">
        <f>RIGHT(Bike_Sales_Functions_Lab!M4, 2)</f>
        <v>46</v>
      </c>
    </row>
    <row r="5" spans="1:11" x14ac:dyDescent="0.3">
      <c r="D5" t="str">
        <f>CONCATENATE(Bike_Sales_Functions_Lab!A5,": ", Bike_Sales_Functions_Lab!N5," ",Bike_Sales_Functions_Lab!L5," - ",TEXT(Bike_Sales_Functions_Lab!B5,"mm/dd/yyyy"))</f>
        <v>000261698: 1 Mountain Bikes - 12/02/2021</v>
      </c>
      <c r="F5" t="str">
        <f>LEFT(Bike_Sales_Functions_Lab!M5,14)</f>
        <v>Mountain-400-W</v>
      </c>
      <c r="G5" t="str">
        <f>MID(Bike_Sales_Functions_Lab!M5,16,6)</f>
        <v>Silver</v>
      </c>
      <c r="H5" t="str">
        <f>RIGHT(Bike_Sales_Functions_Lab!M5, 2)</f>
        <v>42</v>
      </c>
    </row>
    <row r="6" spans="1:11" x14ac:dyDescent="0.3">
      <c r="D6" t="str">
        <f>CONCATENATE(Bike_Sales_Functions_Lab!A6,": ", Bike_Sales_Functions_Lab!N6," ",Bike_Sales_Functions_Lab!L6," - ",TEXT(Bike_Sales_Functions_Lab!B6,"mm/dd/yyyy"))</f>
        <v>000261699: 2 Mountain Bikes - 12/03/2021</v>
      </c>
      <c r="F6" t="str">
        <f>LEFT(Bike_Sales_Functions_Lab!M6,12)</f>
        <v>Mountain-200</v>
      </c>
      <c r="G6" t="str">
        <f>MID(Bike_Sales_Functions_Lab!M6,13,6)</f>
        <v xml:space="preserve"> Black</v>
      </c>
      <c r="H6" t="str">
        <f>RIGHT(Bike_Sales_Functions_Lab!M6, 2)</f>
        <v>46</v>
      </c>
      <c r="J6" s="4" t="s">
        <v>156</v>
      </c>
    </row>
    <row r="7" spans="1:11" x14ac:dyDescent="0.3">
      <c r="D7" t="str">
        <f>CONCATENATE(Bike_Sales_Functions_Lab!A7,": ", Bike_Sales_Functions_Lab!N7," ",Bike_Sales_Functions_Lab!L7," - ",TEXT(Bike_Sales_Functions_Lab!B7,"mm/dd/yyyy"))</f>
        <v>000261700: 1 Mountain Bikes - 12/03/2021</v>
      </c>
      <c r="F7" t="str">
        <f>LEFT(Bike_Sales_Functions_Lab!M7,12)</f>
        <v>Mountain-200</v>
      </c>
      <c r="G7" t="str">
        <f>MID(Bike_Sales_Functions_Lab!M7,13,6)</f>
        <v xml:space="preserve"> Black</v>
      </c>
      <c r="H7" t="str">
        <f>RIGHT(Bike_Sales_Functions_Lab!M7, 2)</f>
        <v>38</v>
      </c>
      <c r="J7" s="3">
        <f>SUMIF(Bike_Sales_Functions_Lab!I2:I89, "Australia", Bike_Sales_Functions_Lab!S2:S89)</f>
        <v>111506</v>
      </c>
    </row>
    <row r="8" spans="1:11" x14ac:dyDescent="0.3">
      <c r="D8" t="str">
        <f>CONCATENATE(Bike_Sales_Functions_Lab!A8,": ", Bike_Sales_Functions_Lab!N8," ",Bike_Sales_Functions_Lab!L8," - ",TEXT(Bike_Sales_Functions_Lab!B8,"mm/dd/yyyy"))</f>
        <v>000261701: 1 Mountain Bikes - 12/03/2021</v>
      </c>
      <c r="F8" t="str">
        <f>LEFT(Bike_Sales_Functions_Lab!M8,12)</f>
        <v>Mountain-200</v>
      </c>
      <c r="G8" t="str">
        <f>MID(Bike_Sales_Functions_Lab!M8,13,6)</f>
        <v xml:space="preserve"> Black</v>
      </c>
      <c r="H8" t="str">
        <f>RIGHT(Bike_Sales_Functions_Lab!M8, 2)</f>
        <v>46</v>
      </c>
    </row>
    <row r="9" spans="1:11" x14ac:dyDescent="0.3">
      <c r="D9" t="str">
        <f>CONCATENATE(Bike_Sales_Functions_Lab!A9,": ", Bike_Sales_Functions_Lab!N9," ",Bike_Sales_Functions_Lab!L9," - ",TEXT(Bike_Sales_Functions_Lab!B9,"mm/dd/yyyy"))</f>
        <v>000261702: 4 Mountain Bikes - 12/04/2021</v>
      </c>
      <c r="F9" t="str">
        <f>LEFT(Bike_Sales_Functions_Lab!M9,14)</f>
        <v>Mountain-400-W</v>
      </c>
      <c r="G9" t="str">
        <f>MID(Bike_Sales_Functions_Lab!M9,16,6)</f>
        <v>Silver</v>
      </c>
      <c r="H9" t="str">
        <f>RIGHT(Bike_Sales_Functions_Lab!M9, 2)</f>
        <v>42</v>
      </c>
    </row>
    <row r="10" spans="1:11" x14ac:dyDescent="0.3">
      <c r="D10" t="str">
        <f>CONCATENATE(Bike_Sales_Functions_Lab!A10,": ", Bike_Sales_Functions_Lab!N10," ",Bike_Sales_Functions_Lab!L10," - ",TEXT(Bike_Sales_Functions_Lab!B10,"mm/dd/yyyy"))</f>
        <v>000261703: 4 Mountain Bikes - 12/05/2021</v>
      </c>
      <c r="F10" t="str">
        <f>LEFT(Bike_Sales_Functions_Lab!M10,12)</f>
        <v>Mountain-200</v>
      </c>
      <c r="G10" t="str">
        <f>MID(Bike_Sales_Functions_Lab!M10,13,6)</f>
        <v xml:space="preserve"> Black</v>
      </c>
      <c r="H10" t="str">
        <f>RIGHT(Bike_Sales_Functions_Lab!M10, 2)</f>
        <v>46</v>
      </c>
    </row>
    <row r="11" spans="1:11" x14ac:dyDescent="0.3">
      <c r="D11" t="str">
        <f>CONCATENATE(Bike_Sales_Functions_Lab!A11,": ", Bike_Sales_Functions_Lab!N11," ",Bike_Sales_Functions_Lab!L11," - ",TEXT(Bike_Sales_Functions_Lab!B11,"mm/dd/yyyy"))</f>
        <v>000261704: 4 Mountain Bikes - 12/05/2021</v>
      </c>
      <c r="F11" t="str">
        <f>LEFT(Bike_Sales_Functions_Lab!M11,12)</f>
        <v>Mountain-200</v>
      </c>
      <c r="G11" t="str">
        <f>MID(Bike_Sales_Functions_Lab!M11,13,6)</f>
        <v xml:space="preserve"> Black</v>
      </c>
      <c r="H11" t="str">
        <f>RIGHT(Bike_Sales_Functions_Lab!M11, 2)</f>
        <v>38</v>
      </c>
    </row>
    <row r="12" spans="1:11" x14ac:dyDescent="0.3">
      <c r="D12" t="str">
        <f>CONCATENATE(Bike_Sales_Functions_Lab!A12,": ", Bike_Sales_Functions_Lab!N12," ",Bike_Sales_Functions_Lab!L12," - ",TEXT(Bike_Sales_Functions_Lab!B12,"mm/dd/yyyy"))</f>
        <v>000261705: 1 Mountain Bikes - 12/05/2021</v>
      </c>
      <c r="F12" t="str">
        <f>LEFT(Bike_Sales_Functions_Lab!M12,12)</f>
        <v>Mountain-200</v>
      </c>
      <c r="G12" t="str">
        <f>MID(Bike_Sales_Functions_Lab!M12,13,7)</f>
        <v xml:space="preserve"> Silver</v>
      </c>
      <c r="H12" t="str">
        <f>RIGHT(Bike_Sales_Functions_Lab!M12, 2)</f>
        <v>38</v>
      </c>
    </row>
    <row r="13" spans="1:11" x14ac:dyDescent="0.3">
      <c r="D13" t="str">
        <f>CONCATENATE(Bike_Sales_Functions_Lab!A13,": ", Bike_Sales_Functions_Lab!N13," ",Bike_Sales_Functions_Lab!L13," - ",TEXT(Bike_Sales_Functions_Lab!B13,"mm/dd/yyyy"))</f>
        <v>000261706: 1 Mountain Bikes - 12/05/2021</v>
      </c>
      <c r="F13" t="str">
        <f>LEFT(Bike_Sales_Functions_Lab!M13,12)</f>
        <v>Mountain-200</v>
      </c>
      <c r="G13" t="str">
        <f>MID(Bike_Sales_Functions_Lab!M13,13,6)</f>
        <v xml:space="preserve"> Black</v>
      </c>
      <c r="H13" t="str">
        <f>RIGHT(Bike_Sales_Functions_Lab!M13, 2)</f>
        <v>46</v>
      </c>
    </row>
    <row r="14" spans="1:11" x14ac:dyDescent="0.3">
      <c r="D14" t="str">
        <f>CONCATENATE(Bike_Sales_Functions_Lab!A14,": ", Bike_Sales_Functions_Lab!N14," ",Bike_Sales_Functions_Lab!L14," - ",TEXT(Bike_Sales_Functions_Lab!B14,"mm/dd/yyyy"))</f>
        <v>000261707: 3 Mountain Bikes - 12/06/2021</v>
      </c>
      <c r="F14" t="str">
        <f>LEFT(Bike_Sales_Functions_Lab!M14,14)</f>
        <v>Mountain-400-W</v>
      </c>
      <c r="G14" t="str">
        <f>MID(Bike_Sales_Functions_Lab!M14,16,6)</f>
        <v>Silver</v>
      </c>
      <c r="H14" t="str">
        <f>RIGHT(Bike_Sales_Functions_Lab!M14, 2)</f>
        <v>46</v>
      </c>
    </row>
    <row r="15" spans="1:11" x14ac:dyDescent="0.3">
      <c r="D15" t="str">
        <f>CONCATENATE(Bike_Sales_Functions_Lab!A15,": ", Bike_Sales_Functions_Lab!N15," ",Bike_Sales_Functions_Lab!L15," - ",TEXT(Bike_Sales_Functions_Lab!B15,"mm/dd/yyyy"))</f>
        <v>000261708: 1 Mountain Bikes - 12/06/2021</v>
      </c>
      <c r="F15" t="str">
        <f>LEFT(Bike_Sales_Functions_Lab!M15,12)</f>
        <v>Mountain-200</v>
      </c>
      <c r="G15" t="str">
        <f>MID(Bike_Sales_Functions_Lab!M15,13,6)</f>
        <v xml:space="preserve"> Black</v>
      </c>
      <c r="H15" t="str">
        <f>RIGHT(Bike_Sales_Functions_Lab!M15, 2)</f>
        <v>46</v>
      </c>
    </row>
    <row r="16" spans="1:11" x14ac:dyDescent="0.3">
      <c r="D16" t="str">
        <f>CONCATENATE(Bike_Sales_Functions_Lab!A16,": ", Bike_Sales_Functions_Lab!N16," ",Bike_Sales_Functions_Lab!L16," - ",TEXT(Bike_Sales_Functions_Lab!B16,"mm/dd/yyyy"))</f>
        <v>000261709: 1 Mountain Bikes - 12/06/2021</v>
      </c>
      <c r="F16" t="str">
        <f>LEFT(Bike_Sales_Functions_Lab!M16,12)</f>
        <v>Mountain-200</v>
      </c>
      <c r="G16" t="str">
        <f>MID(Bike_Sales_Functions_Lab!M16,13,6)</f>
        <v xml:space="preserve"> Black</v>
      </c>
      <c r="H16" t="str">
        <f>RIGHT(Bike_Sales_Functions_Lab!M16, 2)</f>
        <v>42</v>
      </c>
    </row>
    <row r="17" spans="4:8" x14ac:dyDescent="0.3">
      <c r="D17" t="str">
        <f>CONCATENATE(Bike_Sales_Functions_Lab!A17,": ", Bike_Sales_Functions_Lab!N17," ",Bike_Sales_Functions_Lab!L17," - ",TEXT(Bike_Sales_Functions_Lab!B17,"mm/dd/yyyy"))</f>
        <v>000261710: 1 Mountain Bikes - 12/06/2021</v>
      </c>
      <c r="F17" t="str">
        <f>LEFT(Bike_Sales_Functions_Lab!M17,12)</f>
        <v>Mountain-200</v>
      </c>
      <c r="G17" t="str">
        <f>MID(Bike_Sales_Functions_Lab!M17,13,7)</f>
        <v xml:space="preserve"> Silver</v>
      </c>
      <c r="H17" t="str">
        <f>RIGHT(Bike_Sales_Functions_Lab!M17, 2)</f>
        <v>38</v>
      </c>
    </row>
    <row r="18" spans="4:8" x14ac:dyDescent="0.3">
      <c r="D18" t="str">
        <f>CONCATENATE(Bike_Sales_Functions_Lab!A18,": ", Bike_Sales_Functions_Lab!N18," ",Bike_Sales_Functions_Lab!L18," - ",TEXT(Bike_Sales_Functions_Lab!B18,"mm/dd/yyyy"))</f>
        <v>000261711: 4 Mountain Bikes - 12/07/2021</v>
      </c>
      <c r="F18" t="str">
        <f>LEFT(Bike_Sales_Functions_Lab!M18,14)</f>
        <v>Mountain-400-W</v>
      </c>
      <c r="G18" t="str">
        <f>MID(Bike_Sales_Functions_Lab!M18,16,6)</f>
        <v>Silver</v>
      </c>
      <c r="H18" t="str">
        <f>RIGHT(Bike_Sales_Functions_Lab!M18, 2)</f>
        <v>38</v>
      </c>
    </row>
    <row r="19" spans="4:8" x14ac:dyDescent="0.3">
      <c r="D19" t="str">
        <f>CONCATENATE(Bike_Sales_Functions_Lab!A19,": ", Bike_Sales_Functions_Lab!N19," ",Bike_Sales_Functions_Lab!L19," - ",TEXT(Bike_Sales_Functions_Lab!B19,"mm/dd/yyyy"))</f>
        <v>000261712: 2 Mountain Bikes - 12/07/2021</v>
      </c>
      <c r="F19" t="str">
        <f>LEFT(Bike_Sales_Functions_Lab!M19,12)</f>
        <v>Mountain-200</v>
      </c>
      <c r="G19" t="str">
        <f>MID(Bike_Sales_Functions_Lab!M19,13,7)</f>
        <v xml:space="preserve"> Silver</v>
      </c>
      <c r="H19" t="str">
        <f>RIGHT(Bike_Sales_Functions_Lab!M19, 2)</f>
        <v>42</v>
      </c>
    </row>
    <row r="20" spans="4:8" x14ac:dyDescent="0.3">
      <c r="D20" t="str">
        <f>CONCATENATE(Bike_Sales_Functions_Lab!A20,": ", Bike_Sales_Functions_Lab!N20," ",Bike_Sales_Functions_Lab!L20," - ",TEXT(Bike_Sales_Functions_Lab!B20,"mm/dd/yyyy"))</f>
        <v>000261713: 4 Mountain Bikes - 12/08/2021</v>
      </c>
      <c r="F20" t="str">
        <f>LEFT(Bike_Sales_Functions_Lab!M20,12)</f>
        <v>Mountain-500</v>
      </c>
      <c r="G20" t="str">
        <f>MID(Bike_Sales_Functions_Lab!M20,13,7)</f>
        <v xml:space="preserve"> Silver</v>
      </c>
      <c r="H20" t="str">
        <f>RIGHT(Bike_Sales_Functions_Lab!M20, 2)</f>
        <v>42</v>
      </c>
    </row>
    <row r="21" spans="4:8" x14ac:dyDescent="0.3">
      <c r="D21" t="str">
        <f>CONCATENATE(Bike_Sales_Functions_Lab!A21,": ", Bike_Sales_Functions_Lab!N21," ",Bike_Sales_Functions_Lab!L21," - ",TEXT(Bike_Sales_Functions_Lab!B21,"mm/dd/yyyy"))</f>
        <v>000261714: 4 Mountain Bikes - 12/08/2021</v>
      </c>
      <c r="F21" t="str">
        <f>LEFT(Bike_Sales_Functions_Lab!M21,12)</f>
        <v>Mountain-200</v>
      </c>
      <c r="G21" t="str">
        <f>MID(Bike_Sales_Functions_Lab!M21,13,7)</f>
        <v xml:space="preserve"> Silver</v>
      </c>
      <c r="H21" t="str">
        <f>RIGHT(Bike_Sales_Functions_Lab!M21, 2)</f>
        <v>38</v>
      </c>
    </row>
    <row r="22" spans="4:8" x14ac:dyDescent="0.3">
      <c r="D22" t="str">
        <f>CONCATENATE(Bike_Sales_Functions_Lab!A22,": ", Bike_Sales_Functions_Lab!N22," ",Bike_Sales_Functions_Lab!L22," - ",TEXT(Bike_Sales_Functions_Lab!B22,"mm/dd/yyyy"))</f>
        <v>000261715: 2 Mountain Bikes - 12/08/2021</v>
      </c>
      <c r="F22" t="str">
        <f>LEFT(Bike_Sales_Functions_Lab!M22,12)</f>
        <v>Mountain-200</v>
      </c>
      <c r="G22" t="str">
        <f>MID(Bike_Sales_Functions_Lab!M22,13,6)</f>
        <v xml:space="preserve"> Black</v>
      </c>
      <c r="H22" t="str">
        <f>RIGHT(Bike_Sales_Functions_Lab!M22, 2)</f>
        <v>42</v>
      </c>
    </row>
    <row r="23" spans="4:8" x14ac:dyDescent="0.3">
      <c r="D23" t="str">
        <f>CONCATENATE(Bike_Sales_Functions_Lab!A23,": ", Bike_Sales_Functions_Lab!N23," ",Bike_Sales_Functions_Lab!L23," - ",TEXT(Bike_Sales_Functions_Lab!B23,"mm/dd/yyyy"))</f>
        <v>000261716: 1 Mountain Bikes - 12/08/2021</v>
      </c>
      <c r="F23" t="str">
        <f>LEFT(Bike_Sales_Functions_Lab!M23,12)</f>
        <v>Mountain-500</v>
      </c>
      <c r="G23" t="str">
        <f>MID(Bike_Sales_Functions_Lab!M23,13,6)</f>
        <v xml:space="preserve"> Black</v>
      </c>
      <c r="H23" t="str">
        <f>RIGHT(Bike_Sales_Functions_Lab!M23, 2)</f>
        <v>42</v>
      </c>
    </row>
    <row r="24" spans="4:8" x14ac:dyDescent="0.3">
      <c r="D24" t="str">
        <f>CONCATENATE(Bike_Sales_Functions_Lab!A24,": ", Bike_Sales_Functions_Lab!N24," ",Bike_Sales_Functions_Lab!L24," - ",TEXT(Bike_Sales_Functions_Lab!B24,"mm/dd/yyyy"))</f>
        <v>000261717: 2 Mountain Bikes - 12/09/2021</v>
      </c>
      <c r="F24" t="str">
        <f>LEFT(Bike_Sales_Functions_Lab!M24,12)</f>
        <v>Mountain-100</v>
      </c>
      <c r="G24" t="str">
        <f>MID(Bike_Sales_Functions_Lab!M24,13,6)</f>
        <v xml:space="preserve"> Black</v>
      </c>
      <c r="H24" t="str">
        <f>RIGHT(Bike_Sales_Functions_Lab!M24, 2)</f>
        <v>38</v>
      </c>
    </row>
    <row r="25" spans="4:8" x14ac:dyDescent="0.3">
      <c r="D25" t="str">
        <f>CONCATENATE(Bike_Sales_Functions_Lab!A25,": ", Bike_Sales_Functions_Lab!N25," ",Bike_Sales_Functions_Lab!L25," - ",TEXT(Bike_Sales_Functions_Lab!B25,"mm/dd/yyyy"))</f>
        <v>000261718: 1 Mountain Bikes - 12/09/2021</v>
      </c>
      <c r="F25" t="str">
        <f>LEFT(Bike_Sales_Functions_Lab!M25,12)</f>
        <v>Mountain-200</v>
      </c>
      <c r="G25" t="str">
        <f>MID(Bike_Sales_Functions_Lab!M25,13,7)</f>
        <v xml:space="preserve"> Silver</v>
      </c>
      <c r="H25" t="str">
        <f>RIGHT(Bike_Sales_Functions_Lab!M25, 2)</f>
        <v>42</v>
      </c>
    </row>
    <row r="26" spans="4:8" x14ac:dyDescent="0.3">
      <c r="D26" t="str">
        <f>CONCATENATE(Bike_Sales_Functions_Lab!A26,": ", Bike_Sales_Functions_Lab!N26," ",Bike_Sales_Functions_Lab!L26," - ",TEXT(Bike_Sales_Functions_Lab!B26,"mm/dd/yyyy"))</f>
        <v>000261719: 2 Mountain Bikes - 12/10/2021</v>
      </c>
      <c r="F26" t="str">
        <f>LEFT(Bike_Sales_Functions_Lab!M26,12)</f>
        <v>Mountain-200</v>
      </c>
      <c r="G26" t="str">
        <f>MID(Bike_Sales_Functions_Lab!M26,13,6)</f>
        <v xml:space="preserve"> Black</v>
      </c>
      <c r="H26" t="str">
        <f>RIGHT(Bike_Sales_Functions_Lab!M26, 2)</f>
        <v>42</v>
      </c>
    </row>
    <row r="27" spans="4:8" x14ac:dyDescent="0.3">
      <c r="D27" t="str">
        <f>CONCATENATE(Bike_Sales_Functions_Lab!A27,": ", Bike_Sales_Functions_Lab!N27," ",Bike_Sales_Functions_Lab!L27," - ",TEXT(Bike_Sales_Functions_Lab!B27,"mm/dd/yyyy"))</f>
        <v>000261720: 2 Mountain Bikes - 12/10/2021</v>
      </c>
      <c r="F27" t="str">
        <f>LEFT(Bike_Sales_Functions_Lab!M27,12)</f>
        <v>Mountain-200</v>
      </c>
      <c r="G27" t="str">
        <f>MID(Bike_Sales_Functions_Lab!M27,13,6)</f>
        <v xml:space="preserve"> Black</v>
      </c>
      <c r="H27" t="str">
        <f>RIGHT(Bike_Sales_Functions_Lab!M27, 2)</f>
        <v>42</v>
      </c>
    </row>
    <row r="28" spans="4:8" x14ac:dyDescent="0.3">
      <c r="D28" t="str">
        <f>CONCATENATE(Bike_Sales_Functions_Lab!A28,": ", Bike_Sales_Functions_Lab!N28," ",Bike_Sales_Functions_Lab!L28," - ",TEXT(Bike_Sales_Functions_Lab!B28,"mm/dd/yyyy"))</f>
        <v>000261721: 1 Mountain Bikes - 12/10/2021</v>
      </c>
      <c r="F28" t="str">
        <f>LEFT(Bike_Sales_Functions_Lab!M28,12)</f>
        <v>Mountain-200</v>
      </c>
      <c r="G28" t="str">
        <f>MID(Bike_Sales_Functions_Lab!M28,13,6)</f>
        <v xml:space="preserve"> Black</v>
      </c>
      <c r="H28" t="str">
        <f>RIGHT(Bike_Sales_Functions_Lab!M28, 2)</f>
        <v>38</v>
      </c>
    </row>
    <row r="29" spans="4:8" x14ac:dyDescent="0.3">
      <c r="D29" t="str">
        <f>CONCATENATE(Bike_Sales_Functions_Lab!A29,": ", Bike_Sales_Functions_Lab!N29," ",Bike_Sales_Functions_Lab!L29," - ",TEXT(Bike_Sales_Functions_Lab!B29,"mm/dd/yyyy"))</f>
        <v>000261722: 1 Mountain Bikes - 12/10/2021</v>
      </c>
      <c r="F29" t="str">
        <f>LEFT(Bike_Sales_Functions_Lab!M29,12)</f>
        <v>Mountain-500</v>
      </c>
      <c r="G29" t="str">
        <f>MID(Bike_Sales_Functions_Lab!M29,13,6)</f>
        <v xml:space="preserve"> Black</v>
      </c>
      <c r="H29" t="str">
        <f>RIGHT(Bike_Sales_Functions_Lab!M29, 2)</f>
        <v>40</v>
      </c>
    </row>
    <row r="30" spans="4:8" x14ac:dyDescent="0.3">
      <c r="D30" t="str">
        <f>CONCATENATE(Bike_Sales_Functions_Lab!A30,": ", Bike_Sales_Functions_Lab!N30," ",Bike_Sales_Functions_Lab!L30," - ",TEXT(Bike_Sales_Functions_Lab!B30,"mm/dd/yyyy"))</f>
        <v>000261723: 1 Mountain Bikes - 12/10/2021</v>
      </c>
      <c r="F30" t="str">
        <f>LEFT(Bike_Sales_Functions_Lab!M30,12)</f>
        <v>Mountain-100</v>
      </c>
      <c r="G30" t="str">
        <f>MID(Bike_Sales_Functions_Lab!M30,13,7)</f>
        <v xml:space="preserve"> Silver</v>
      </c>
      <c r="H30" t="str">
        <f>RIGHT(Bike_Sales_Functions_Lab!M30, 2)</f>
        <v>44</v>
      </c>
    </row>
    <row r="31" spans="4:8" x14ac:dyDescent="0.3">
      <c r="D31" t="str">
        <f>CONCATENATE(Bike_Sales_Functions_Lab!A31,": ", Bike_Sales_Functions_Lab!N31," ",Bike_Sales_Functions_Lab!L31," - ",TEXT(Bike_Sales_Functions_Lab!B31,"mm/dd/yyyy"))</f>
        <v>000261724: 1 Mountain Bikes - 12/10/2021</v>
      </c>
      <c r="F31" t="str">
        <f>LEFT(Bike_Sales_Functions_Lab!M31,12)</f>
        <v>Mountain-200</v>
      </c>
      <c r="G31" t="str">
        <f>MID(Bike_Sales_Functions_Lab!M31,13,6)</f>
        <v xml:space="preserve"> Black</v>
      </c>
      <c r="H31" t="str">
        <f>RIGHT(Bike_Sales_Functions_Lab!M31, 2)</f>
        <v>38</v>
      </c>
    </row>
    <row r="32" spans="4:8" x14ac:dyDescent="0.3">
      <c r="D32" t="str">
        <f>CONCATENATE(Bike_Sales_Functions_Lab!A32,": ", Bike_Sales_Functions_Lab!N32," ",Bike_Sales_Functions_Lab!L32," - ",TEXT(Bike_Sales_Functions_Lab!B32,"mm/dd/yyyy"))</f>
        <v>000261725: 3 Mountain Bikes - 12/11/2021</v>
      </c>
      <c r="F32" t="str">
        <f>LEFT(Bike_Sales_Functions_Lab!M32,12)</f>
        <v>Mountain-200</v>
      </c>
      <c r="G32" t="str">
        <f>MID(Bike_Sales_Functions_Lab!M32,13,6)</f>
        <v xml:space="preserve"> Black</v>
      </c>
      <c r="H32" t="str">
        <f>RIGHT(Bike_Sales_Functions_Lab!M32, 2)</f>
        <v>38</v>
      </c>
    </row>
    <row r="33" spans="4:8" x14ac:dyDescent="0.3">
      <c r="D33" t="str">
        <f>CONCATENATE(Bike_Sales_Functions_Lab!A33,": ", Bike_Sales_Functions_Lab!N33," ",Bike_Sales_Functions_Lab!L33," - ",TEXT(Bike_Sales_Functions_Lab!B33,"mm/dd/yyyy"))</f>
        <v>000261726: 2 Mountain Bikes - 12/11/2021</v>
      </c>
      <c r="F33" t="str">
        <f>LEFT(Bike_Sales_Functions_Lab!M33,14)</f>
        <v>Mountain-400-W</v>
      </c>
      <c r="G33" t="str">
        <f>MID(Bike_Sales_Functions_Lab!M33,16,6)</f>
        <v>Silver</v>
      </c>
      <c r="H33" t="str">
        <f>RIGHT(Bike_Sales_Functions_Lab!M33, 2)</f>
        <v>38</v>
      </c>
    </row>
    <row r="34" spans="4:8" x14ac:dyDescent="0.3">
      <c r="D34" t="str">
        <f>CONCATENATE(Bike_Sales_Functions_Lab!A34,": ", Bike_Sales_Functions_Lab!N34," ",Bike_Sales_Functions_Lab!L34," - ",TEXT(Bike_Sales_Functions_Lab!B34,"mm/dd/yyyy"))</f>
        <v>000261727: 1 Mountain Bikes - 12/11/2021</v>
      </c>
      <c r="F34" t="str">
        <f>LEFT(Bike_Sales_Functions_Lab!M34,12)</f>
        <v>Mountain-200</v>
      </c>
      <c r="G34" t="str">
        <f>MID(Bike_Sales_Functions_Lab!M34,13,6)</f>
        <v xml:space="preserve"> Black</v>
      </c>
      <c r="H34" t="str">
        <f>RIGHT(Bike_Sales_Functions_Lab!M34, 2)</f>
        <v>46</v>
      </c>
    </row>
    <row r="35" spans="4:8" x14ac:dyDescent="0.3">
      <c r="D35" t="str">
        <f>CONCATENATE(Bike_Sales_Functions_Lab!A35,": ", Bike_Sales_Functions_Lab!N35," ",Bike_Sales_Functions_Lab!L35," - ",TEXT(Bike_Sales_Functions_Lab!B35,"mm/dd/yyyy"))</f>
        <v>000261728: 1 Mountain Bikes - 12/11/2021</v>
      </c>
      <c r="F35" t="str">
        <f>LEFT(Bike_Sales_Functions_Lab!M35,14)</f>
        <v>Mountain-400-W</v>
      </c>
      <c r="G35" t="str">
        <f>MID(Bike_Sales_Functions_Lab!M35,16,6)</f>
        <v>Silver</v>
      </c>
      <c r="H35" t="str">
        <f>RIGHT(Bike_Sales_Functions_Lab!M35, 2)</f>
        <v>46</v>
      </c>
    </row>
    <row r="36" spans="4:8" x14ac:dyDescent="0.3">
      <c r="D36" t="str">
        <f>CONCATENATE(Bike_Sales_Functions_Lab!A36,": ", Bike_Sales_Functions_Lab!N36," ",Bike_Sales_Functions_Lab!L36," - ",TEXT(Bike_Sales_Functions_Lab!B36,"mm/dd/yyyy"))</f>
        <v>000261729: 1 Mountain Bikes - 12/11/2021</v>
      </c>
      <c r="F36" t="str">
        <f>LEFT(Bike_Sales_Functions_Lab!M36,12)</f>
        <v>Mountain-200</v>
      </c>
      <c r="G36" t="str">
        <f>MID(Bike_Sales_Functions_Lab!M36,13,7)</f>
        <v xml:space="preserve"> Silver</v>
      </c>
      <c r="H36" t="str">
        <f>RIGHT(Bike_Sales_Functions_Lab!M36, 2)</f>
        <v>38</v>
      </c>
    </row>
    <row r="37" spans="4:8" x14ac:dyDescent="0.3">
      <c r="D37" t="str">
        <f>CONCATENATE(Bike_Sales_Functions_Lab!A37,": ", Bike_Sales_Functions_Lab!N37," ",Bike_Sales_Functions_Lab!L37," - ",TEXT(Bike_Sales_Functions_Lab!B37,"mm/dd/yyyy"))</f>
        <v>000261730: 4 Mountain Bikes - 12/12/2021</v>
      </c>
      <c r="F37" t="str">
        <f>LEFT(Bike_Sales_Functions_Lab!M37,12)</f>
        <v>Mountain-200</v>
      </c>
      <c r="G37" t="str">
        <f>MID(Bike_Sales_Functions_Lab!M37,13,7)</f>
        <v xml:space="preserve"> Silver</v>
      </c>
      <c r="H37" t="str">
        <f>RIGHT(Bike_Sales_Functions_Lab!M37, 2)</f>
        <v>42</v>
      </c>
    </row>
    <row r="38" spans="4:8" x14ac:dyDescent="0.3">
      <c r="D38" t="str">
        <f>CONCATENATE(Bike_Sales_Functions_Lab!A38,": ", Bike_Sales_Functions_Lab!N38," ",Bike_Sales_Functions_Lab!L38," - ",TEXT(Bike_Sales_Functions_Lab!B38,"mm/dd/yyyy"))</f>
        <v>000261731: 4 Mountain Bikes - 12/12/2021</v>
      </c>
      <c r="F38" t="str">
        <f>LEFT(Bike_Sales_Functions_Lab!M38,14)</f>
        <v>Mountain-400-W</v>
      </c>
      <c r="G38" t="str">
        <f>MID(Bike_Sales_Functions_Lab!M38,16,6)</f>
        <v>Silver</v>
      </c>
      <c r="H38" t="str">
        <f>RIGHT(Bike_Sales_Functions_Lab!M38, 2)</f>
        <v>46</v>
      </c>
    </row>
    <row r="39" spans="4:8" x14ac:dyDescent="0.3">
      <c r="D39" t="str">
        <f>CONCATENATE(Bike_Sales_Functions_Lab!A39,": ", Bike_Sales_Functions_Lab!N39," ",Bike_Sales_Functions_Lab!L39," - ",TEXT(Bike_Sales_Functions_Lab!B39,"mm/dd/yyyy"))</f>
        <v>000261732: 2 Mountain Bikes - 12/12/2021</v>
      </c>
      <c r="F39" t="str">
        <f>LEFT(Bike_Sales_Functions_Lab!M39,12)</f>
        <v>Mountain-200</v>
      </c>
      <c r="G39" t="str">
        <f>MID(Bike_Sales_Functions_Lab!M39,13,6)</f>
        <v xml:space="preserve"> Black</v>
      </c>
      <c r="H39" t="str">
        <f>RIGHT(Bike_Sales_Functions_Lab!M39, 2)</f>
        <v>38</v>
      </c>
    </row>
    <row r="40" spans="4:8" x14ac:dyDescent="0.3">
      <c r="D40" t="str">
        <f>CONCATENATE(Bike_Sales_Functions_Lab!A40,": ", Bike_Sales_Functions_Lab!N40," ",Bike_Sales_Functions_Lab!L40," - ",TEXT(Bike_Sales_Functions_Lab!B40,"mm/dd/yyyy"))</f>
        <v>000261733: 1 Mountain Bikes - 12/12/2021</v>
      </c>
      <c r="F40" t="str">
        <f>LEFT(Bike_Sales_Functions_Lab!M40,12)</f>
        <v>Mountain-200</v>
      </c>
      <c r="G40" t="str">
        <f>MID(Bike_Sales_Functions_Lab!M40,13,7)</f>
        <v xml:space="preserve"> Silver</v>
      </c>
      <c r="H40" t="str">
        <f>RIGHT(Bike_Sales_Functions_Lab!M40, 2)</f>
        <v>42</v>
      </c>
    </row>
    <row r="41" spans="4:8" x14ac:dyDescent="0.3">
      <c r="D41" t="str">
        <f>CONCATENATE(Bike_Sales_Functions_Lab!A41,": ", Bike_Sales_Functions_Lab!N41," ",Bike_Sales_Functions_Lab!L41," - ",TEXT(Bike_Sales_Functions_Lab!B41,"mm/dd/yyyy"))</f>
        <v>000261734: 1 Mountain Bikes - 12/12/2021</v>
      </c>
      <c r="F41" t="str">
        <f>LEFT(Bike_Sales_Functions_Lab!M41,12)</f>
        <v>Mountain-200</v>
      </c>
      <c r="G41" t="str">
        <f>MID(Bike_Sales_Functions_Lab!M41,13,7)</f>
        <v xml:space="preserve"> Silver</v>
      </c>
      <c r="H41" t="str">
        <f>RIGHT(Bike_Sales_Functions_Lab!M41, 2)</f>
        <v>42</v>
      </c>
    </row>
    <row r="42" spans="4:8" x14ac:dyDescent="0.3">
      <c r="D42" t="str">
        <f>CONCATENATE(Bike_Sales_Functions_Lab!A42,": ", Bike_Sales_Functions_Lab!N42," ",Bike_Sales_Functions_Lab!L42," - ",TEXT(Bike_Sales_Functions_Lab!B42,"mm/dd/yyyy"))</f>
        <v>000261735: 3 Mountain Bikes - 12/13/2021</v>
      </c>
      <c r="F42" t="str">
        <f>LEFT(Bike_Sales_Functions_Lab!M42,12)</f>
        <v>Mountain-200</v>
      </c>
      <c r="G42" t="str">
        <f>MID(Bike_Sales_Functions_Lab!M42,13,7)</f>
        <v xml:space="preserve"> Silver</v>
      </c>
      <c r="H42" t="str">
        <f>RIGHT(Bike_Sales_Functions_Lab!M42, 2)</f>
        <v>42</v>
      </c>
    </row>
    <row r="43" spans="4:8" x14ac:dyDescent="0.3">
      <c r="D43" t="str">
        <f>CONCATENATE(Bike_Sales_Functions_Lab!A43,": ", Bike_Sales_Functions_Lab!N43," ",Bike_Sales_Functions_Lab!L43," - ",TEXT(Bike_Sales_Functions_Lab!B43,"mm/dd/yyyy"))</f>
        <v>000261736: 1 Mountain Bikes - 12/13/2021</v>
      </c>
      <c r="F43" t="str">
        <f>LEFT(Bike_Sales_Functions_Lab!M43,12)</f>
        <v>Mountain-500</v>
      </c>
      <c r="G43" t="str">
        <f>MID(Bike_Sales_Functions_Lab!M43,13,7)</f>
        <v xml:space="preserve"> Silver</v>
      </c>
      <c r="H43" t="str">
        <f>RIGHT(Bike_Sales_Functions_Lab!M43, 2)</f>
        <v>40</v>
      </c>
    </row>
    <row r="44" spans="4:8" x14ac:dyDescent="0.3">
      <c r="D44" t="str">
        <f>CONCATENATE(Bike_Sales_Functions_Lab!A44,": ", Bike_Sales_Functions_Lab!N44," ",Bike_Sales_Functions_Lab!L44," - ",TEXT(Bike_Sales_Functions_Lab!B44,"mm/dd/yyyy"))</f>
        <v>000261737: 1 Mountain Bikes - 12/13/2021</v>
      </c>
      <c r="F44" t="str">
        <f>LEFT(Bike_Sales_Functions_Lab!M44,12)</f>
        <v>Mountain-200</v>
      </c>
      <c r="G44" t="str">
        <f>MID(Bike_Sales_Functions_Lab!M44,13,6)</f>
        <v xml:space="preserve"> Black</v>
      </c>
      <c r="H44" t="str">
        <f>RIGHT(Bike_Sales_Functions_Lab!M44, 2)</f>
        <v>38</v>
      </c>
    </row>
    <row r="45" spans="4:8" x14ac:dyDescent="0.3">
      <c r="D45" t="str">
        <f>CONCATENATE(Bike_Sales_Functions_Lab!A45,": ", Bike_Sales_Functions_Lab!N45," ",Bike_Sales_Functions_Lab!L45," - ",TEXT(Bike_Sales_Functions_Lab!B45,"mm/dd/yyyy"))</f>
        <v>000261738: 1 Mountain Bikes - 12/13/2021</v>
      </c>
      <c r="F45" t="str">
        <f>LEFT(Bike_Sales_Functions_Lab!M45,12)</f>
        <v>Mountain-200</v>
      </c>
      <c r="G45" t="str">
        <f>MID(Bike_Sales_Functions_Lab!M45,13,6)</f>
        <v xml:space="preserve"> Black</v>
      </c>
      <c r="H45" t="str">
        <f>RIGHT(Bike_Sales_Functions_Lab!M45, 2)</f>
        <v>38</v>
      </c>
    </row>
    <row r="46" spans="4:8" x14ac:dyDescent="0.3">
      <c r="D46" t="str">
        <f>CONCATENATE(Bike_Sales_Functions_Lab!A46,": ", Bike_Sales_Functions_Lab!N46," ",Bike_Sales_Functions_Lab!L46," - ",TEXT(Bike_Sales_Functions_Lab!B46,"mm/dd/yyyy"))</f>
        <v>000261739: 2 Mountain Bikes - 12/14/2021</v>
      </c>
      <c r="F46" t="str">
        <f>LEFT(Bike_Sales_Functions_Lab!M46,12)</f>
        <v>Mountain-200</v>
      </c>
      <c r="G46" t="str">
        <f>MID(Bike_Sales_Functions_Lab!M46,13,7)</f>
        <v xml:space="preserve"> Silver</v>
      </c>
      <c r="H46" t="str">
        <f>RIGHT(Bike_Sales_Functions_Lab!M46, 2)</f>
        <v>38</v>
      </c>
    </row>
    <row r="47" spans="4:8" x14ac:dyDescent="0.3">
      <c r="D47" t="str">
        <f>CONCATENATE(Bike_Sales_Functions_Lab!A47,": ", Bike_Sales_Functions_Lab!N47," ",Bike_Sales_Functions_Lab!L47," - ",TEXT(Bike_Sales_Functions_Lab!B47,"mm/dd/yyyy"))</f>
        <v>000261740: 1 Mountain Bikes - 12/14/2021</v>
      </c>
      <c r="F47" t="str">
        <f>LEFT(Bike_Sales_Functions_Lab!M47,12)</f>
        <v>Mountain-200</v>
      </c>
      <c r="G47" t="str">
        <f>MID(Bike_Sales_Functions_Lab!M47,13,6)</f>
        <v xml:space="preserve"> Black</v>
      </c>
      <c r="H47" t="str">
        <f>RIGHT(Bike_Sales_Functions_Lab!M47, 2)</f>
        <v>46</v>
      </c>
    </row>
    <row r="48" spans="4:8" x14ac:dyDescent="0.3">
      <c r="D48" t="str">
        <f>CONCATENATE(Bike_Sales_Functions_Lab!A48,": ", Bike_Sales_Functions_Lab!N48," ",Bike_Sales_Functions_Lab!L48," - ",TEXT(Bike_Sales_Functions_Lab!B48,"mm/dd/yyyy"))</f>
        <v>000261741: 1 Mountain Bikes - 12/14/2021</v>
      </c>
      <c r="F48" t="str">
        <f>LEFT(Bike_Sales_Functions_Lab!M48,14)</f>
        <v>Mountain-400-W</v>
      </c>
      <c r="G48" t="str">
        <f>MID(Bike_Sales_Functions_Lab!M48,16,6)</f>
        <v>Silver</v>
      </c>
      <c r="H48" t="str">
        <f>RIGHT(Bike_Sales_Functions_Lab!M48, 2)</f>
        <v>46</v>
      </c>
    </row>
    <row r="49" spans="4:8" x14ac:dyDescent="0.3">
      <c r="D49" t="str">
        <f>CONCATENATE(Bike_Sales_Functions_Lab!A49,": ", Bike_Sales_Functions_Lab!N49," ",Bike_Sales_Functions_Lab!L49," - ",TEXT(Bike_Sales_Functions_Lab!B49,"mm/dd/yyyy"))</f>
        <v>000261742: 1 Mountain Bikes - 12/15/2021</v>
      </c>
      <c r="F49" t="str">
        <f>LEFT(Bike_Sales_Functions_Lab!M49,12)</f>
        <v>Mountain-200</v>
      </c>
      <c r="G49" t="str">
        <f>MID(Bike_Sales_Functions_Lab!M49,13,7)</f>
        <v xml:space="preserve"> Silver</v>
      </c>
      <c r="H49" t="str">
        <f>RIGHT(Bike_Sales_Functions_Lab!M49, 2)</f>
        <v>42</v>
      </c>
    </row>
    <row r="50" spans="4:8" x14ac:dyDescent="0.3">
      <c r="D50" t="str">
        <f>CONCATENATE(Bike_Sales_Functions_Lab!A50,": ", Bike_Sales_Functions_Lab!N50," ",Bike_Sales_Functions_Lab!L50," - ",TEXT(Bike_Sales_Functions_Lab!B50,"mm/dd/yyyy"))</f>
        <v>000261743: 2 Mountain Bikes - 12/16/2021</v>
      </c>
      <c r="F50" t="str">
        <f>LEFT(Bike_Sales_Functions_Lab!M50,12)</f>
        <v>Mountain-200</v>
      </c>
      <c r="G50" t="str">
        <f>MID(Bike_Sales_Functions_Lab!M50,13,6)</f>
        <v xml:space="preserve"> Black</v>
      </c>
      <c r="H50" t="str">
        <f>RIGHT(Bike_Sales_Functions_Lab!M50, 2)</f>
        <v>38</v>
      </c>
    </row>
    <row r="51" spans="4:8" x14ac:dyDescent="0.3">
      <c r="D51" t="str">
        <f>CONCATENATE(Bike_Sales_Functions_Lab!A51,": ", Bike_Sales_Functions_Lab!N51," ",Bike_Sales_Functions_Lab!L51," - ",TEXT(Bike_Sales_Functions_Lab!B51,"mm/dd/yyyy"))</f>
        <v>000261744: 2 Mountain Bikes - 12/16/2021</v>
      </c>
      <c r="F51" t="str">
        <f>LEFT(Bike_Sales_Functions_Lab!M51,12)</f>
        <v>Mountain-200</v>
      </c>
      <c r="G51" t="str">
        <f>MID(Bike_Sales_Functions_Lab!M51,13,6)</f>
        <v xml:space="preserve"> Black</v>
      </c>
      <c r="H51" t="str">
        <f>RIGHT(Bike_Sales_Functions_Lab!M51, 2)</f>
        <v>38</v>
      </c>
    </row>
    <row r="52" spans="4:8" x14ac:dyDescent="0.3">
      <c r="D52" t="str">
        <f>CONCATENATE(Bike_Sales_Functions_Lab!A52,": ", Bike_Sales_Functions_Lab!N52," ",Bike_Sales_Functions_Lab!L52," - ",TEXT(Bike_Sales_Functions_Lab!B52,"mm/dd/yyyy"))</f>
        <v>000261745: 1 Mountain Bikes - 12/16/2021</v>
      </c>
      <c r="F52" t="str">
        <f>LEFT(Bike_Sales_Functions_Lab!M52,12)</f>
        <v>Mountain-200</v>
      </c>
      <c r="G52" t="str">
        <f>MID(Bike_Sales_Functions_Lab!M52,13,7)</f>
        <v xml:space="preserve"> Silver</v>
      </c>
      <c r="H52" t="str">
        <f>RIGHT(Bike_Sales_Functions_Lab!M52, 2)</f>
        <v>46</v>
      </c>
    </row>
    <row r="53" spans="4:8" x14ac:dyDescent="0.3">
      <c r="D53" t="str">
        <f>CONCATENATE(Bike_Sales_Functions_Lab!A53,": ", Bike_Sales_Functions_Lab!N53," ",Bike_Sales_Functions_Lab!L53," - ",TEXT(Bike_Sales_Functions_Lab!B53,"mm/dd/yyyy"))</f>
        <v>000261746: 2 Mountain Bikes - 12/17/2021</v>
      </c>
      <c r="F53" t="str">
        <f>LEFT(Bike_Sales_Functions_Lab!M53,12)</f>
        <v>Mountain-200</v>
      </c>
      <c r="G53" t="str">
        <f>MID(Bike_Sales_Functions_Lab!M53,13,7)</f>
        <v xml:space="preserve"> Silver</v>
      </c>
      <c r="H53" t="str">
        <f>RIGHT(Bike_Sales_Functions_Lab!M53, 2)</f>
        <v>38</v>
      </c>
    </row>
    <row r="54" spans="4:8" x14ac:dyDescent="0.3">
      <c r="D54" t="str">
        <f>CONCATENATE(Bike_Sales_Functions_Lab!A54,": ", Bike_Sales_Functions_Lab!N54," ",Bike_Sales_Functions_Lab!L54," - ",TEXT(Bike_Sales_Functions_Lab!B54,"mm/dd/yyyy"))</f>
        <v>000261747: 1 Mountain Bikes - 12/17/2021</v>
      </c>
      <c r="F54" t="str">
        <f>LEFT(Bike_Sales_Functions_Lab!M54,14)</f>
        <v>Mountain-400-W</v>
      </c>
      <c r="G54" t="str">
        <f>MID(Bike_Sales_Functions_Lab!M54,16,6)</f>
        <v>Silver</v>
      </c>
      <c r="H54" t="str">
        <f>RIGHT(Bike_Sales_Functions_Lab!M54, 2)</f>
        <v>42</v>
      </c>
    </row>
    <row r="55" spans="4:8" x14ac:dyDescent="0.3">
      <c r="D55" t="str">
        <f>CONCATENATE(Bike_Sales_Functions_Lab!A55,": ", Bike_Sales_Functions_Lab!N55," ",Bike_Sales_Functions_Lab!L55," - ",TEXT(Bike_Sales_Functions_Lab!B55,"mm/dd/yyyy"))</f>
        <v>000261748: 1 Mountain Bikes - 12/17/2021</v>
      </c>
      <c r="F55" t="str">
        <f>LEFT(Bike_Sales_Functions_Lab!M55,12)</f>
        <v>Mountain-200</v>
      </c>
      <c r="G55" t="str">
        <f>MID(Bike_Sales_Functions_Lab!M55,13,7)</f>
        <v xml:space="preserve"> Silver</v>
      </c>
      <c r="H55" t="str">
        <f>RIGHT(Bike_Sales_Functions_Lab!M55, 2)</f>
        <v>46</v>
      </c>
    </row>
    <row r="56" spans="4:8" x14ac:dyDescent="0.3">
      <c r="D56" t="str">
        <f>CONCATENATE(Bike_Sales_Functions_Lab!A56,": ", Bike_Sales_Functions_Lab!N56," ",Bike_Sales_Functions_Lab!L56," - ",TEXT(Bike_Sales_Functions_Lab!B56,"mm/dd/yyyy"))</f>
        <v>000261749: 4 Mountain Bikes - 12/18/2021</v>
      </c>
      <c r="F56" t="str">
        <f>LEFT(Bike_Sales_Functions_Lab!M56,12)</f>
        <v>Mountain-500</v>
      </c>
      <c r="G56" t="str">
        <f>MID(Bike_Sales_Functions_Lab!M56,13,7)</f>
        <v xml:space="preserve"> Silver</v>
      </c>
      <c r="H56" t="str">
        <f>RIGHT(Bike_Sales_Functions_Lab!M56, 2)</f>
        <v>42</v>
      </c>
    </row>
    <row r="57" spans="4:8" x14ac:dyDescent="0.3">
      <c r="D57" t="str">
        <f>CONCATENATE(Bike_Sales_Functions_Lab!A57,": ", Bike_Sales_Functions_Lab!N57," ",Bike_Sales_Functions_Lab!L57," - ",TEXT(Bike_Sales_Functions_Lab!B57,"mm/dd/yyyy"))</f>
        <v>000261750: 4 Mountain Bikes - 12/18/2021</v>
      </c>
      <c r="F57" t="str">
        <f>LEFT(Bike_Sales_Functions_Lab!M57,12)</f>
        <v>Mountain-200</v>
      </c>
      <c r="G57" t="str">
        <f>MID(Bike_Sales_Functions_Lab!M57,13,7)</f>
        <v xml:space="preserve"> Silver</v>
      </c>
      <c r="H57" t="str">
        <f>RIGHT(Bike_Sales_Functions_Lab!M57, 2)</f>
        <v>46</v>
      </c>
    </row>
    <row r="58" spans="4:8" x14ac:dyDescent="0.3">
      <c r="D58" t="str">
        <f>CONCATENATE(Bike_Sales_Functions_Lab!A58,": ", Bike_Sales_Functions_Lab!N58," ",Bike_Sales_Functions_Lab!L58," - ",TEXT(Bike_Sales_Functions_Lab!B58,"mm/dd/yyyy"))</f>
        <v>000261751: 3 Mountain Bikes - 12/18/2021</v>
      </c>
      <c r="F58" t="str">
        <f>LEFT(Bike_Sales_Functions_Lab!M58,12)</f>
        <v>Mountain-200</v>
      </c>
      <c r="G58" t="str">
        <f>MID(Bike_Sales_Functions_Lab!M58,13,7)</f>
        <v xml:space="preserve"> Silver</v>
      </c>
      <c r="H58" t="str">
        <f>RIGHT(Bike_Sales_Functions_Lab!M58, 2)</f>
        <v>38</v>
      </c>
    </row>
    <row r="59" spans="4:8" x14ac:dyDescent="0.3">
      <c r="D59" t="str">
        <f>CONCATENATE(Bike_Sales_Functions_Lab!A59,": ", Bike_Sales_Functions_Lab!N59," ",Bike_Sales_Functions_Lab!L59," - ",TEXT(Bike_Sales_Functions_Lab!B59,"mm/dd/yyyy"))</f>
        <v>000261752: 3 Mountain Bikes - 12/18/2021</v>
      </c>
      <c r="F59" t="str">
        <f>LEFT(Bike_Sales_Functions_Lab!M59,14)</f>
        <v>Mountain-400-W</v>
      </c>
      <c r="G59" t="str">
        <f>MID(Bike_Sales_Functions_Lab!M59,16,6)</f>
        <v>Silver</v>
      </c>
      <c r="H59" t="str">
        <f>RIGHT(Bike_Sales_Functions_Lab!M59, 2)</f>
        <v>42</v>
      </c>
    </row>
    <row r="60" spans="4:8" x14ac:dyDescent="0.3">
      <c r="D60" t="str">
        <f>CONCATENATE(Bike_Sales_Functions_Lab!A60,": ", Bike_Sales_Functions_Lab!N60," ",Bike_Sales_Functions_Lab!L60," - ",TEXT(Bike_Sales_Functions_Lab!B60,"mm/dd/yyyy"))</f>
        <v>000261753: 3 Mountain Bikes - 12/18/2021</v>
      </c>
      <c r="F60" t="str">
        <f>LEFT(Bike_Sales_Functions_Lab!M60,12)</f>
        <v>Mountain-200</v>
      </c>
      <c r="G60" t="str">
        <f>MID(Bike_Sales_Functions_Lab!M60,13,6)</f>
        <v xml:space="preserve"> Black</v>
      </c>
      <c r="H60" t="str">
        <f>RIGHT(Bike_Sales_Functions_Lab!M60, 2)</f>
        <v>42</v>
      </c>
    </row>
    <row r="61" spans="4:8" x14ac:dyDescent="0.3">
      <c r="D61" t="str">
        <f>CONCATENATE(Bike_Sales_Functions_Lab!A61,": ", Bike_Sales_Functions_Lab!N61," ",Bike_Sales_Functions_Lab!L61," - ",TEXT(Bike_Sales_Functions_Lab!B61,"mm/dd/yyyy"))</f>
        <v>000261754: 1 Mountain Bikes - 12/18/2021</v>
      </c>
      <c r="F61" t="str">
        <f>LEFT(Bike_Sales_Functions_Lab!M61,12)</f>
        <v>Mountain-200</v>
      </c>
      <c r="G61" t="str">
        <f>MID(Bike_Sales_Functions_Lab!M61,13,6)</f>
        <v xml:space="preserve"> Black</v>
      </c>
      <c r="H61" t="str">
        <f>RIGHT(Bike_Sales_Functions_Lab!M61, 2)</f>
        <v>46</v>
      </c>
    </row>
    <row r="62" spans="4:8" x14ac:dyDescent="0.3">
      <c r="D62" t="str">
        <f>CONCATENATE(Bike_Sales_Functions_Lab!A62,": ", Bike_Sales_Functions_Lab!N62," ",Bike_Sales_Functions_Lab!L62," - ",TEXT(Bike_Sales_Functions_Lab!B62,"mm/dd/yyyy"))</f>
        <v>000261755: 1 Mountain Bikes - 12/18/2021</v>
      </c>
      <c r="F62" t="str">
        <f>LEFT(Bike_Sales_Functions_Lab!M62,12)</f>
        <v>Mountain-200</v>
      </c>
      <c r="G62" t="str">
        <f>MID(Bike_Sales_Functions_Lab!M62,13,7)</f>
        <v xml:space="preserve"> Silver</v>
      </c>
      <c r="H62" t="str">
        <f>RIGHT(Bike_Sales_Functions_Lab!M62, 2)</f>
        <v>38</v>
      </c>
    </row>
    <row r="63" spans="4:8" x14ac:dyDescent="0.3">
      <c r="D63" t="str">
        <f>CONCATENATE(Bike_Sales_Functions_Lab!A63,": ", Bike_Sales_Functions_Lab!N63," ",Bike_Sales_Functions_Lab!L63," - ",TEXT(Bike_Sales_Functions_Lab!B63,"mm/dd/yyyy"))</f>
        <v>000261756: 4 Mountain Bikes - 12/19/2021</v>
      </c>
      <c r="F63" t="str">
        <f>LEFT(Bike_Sales_Functions_Lab!M63,12)</f>
        <v>Mountain-200</v>
      </c>
      <c r="G63" t="str">
        <f>MID(Bike_Sales_Functions_Lab!M63,13,7)</f>
        <v xml:space="preserve"> Silver</v>
      </c>
      <c r="H63" t="str">
        <f>RIGHT(Bike_Sales_Functions_Lab!M63, 2)</f>
        <v>46</v>
      </c>
    </row>
    <row r="64" spans="4:8" x14ac:dyDescent="0.3">
      <c r="D64" t="str">
        <f>CONCATENATE(Bike_Sales_Functions_Lab!A64,": ", Bike_Sales_Functions_Lab!N64," ",Bike_Sales_Functions_Lab!L64," - ",TEXT(Bike_Sales_Functions_Lab!B64,"mm/dd/yyyy"))</f>
        <v>000261757: 4 Mountain Bikes - 12/19/2021</v>
      </c>
      <c r="F64" t="str">
        <f>LEFT(Bike_Sales_Functions_Lab!M64,12)</f>
        <v>Mountain-500</v>
      </c>
      <c r="G64" t="str">
        <f>MID(Bike_Sales_Functions_Lab!M64,13,6)</f>
        <v xml:space="preserve"> Black</v>
      </c>
      <c r="H64" t="str">
        <f>RIGHT(Bike_Sales_Functions_Lab!M64, 2)</f>
        <v>44</v>
      </c>
    </row>
    <row r="65" spans="4:8" x14ac:dyDescent="0.3">
      <c r="D65" t="str">
        <f>CONCATENATE(Bike_Sales_Functions_Lab!A65,": ", Bike_Sales_Functions_Lab!N65," ",Bike_Sales_Functions_Lab!L65," - ",TEXT(Bike_Sales_Functions_Lab!B65,"mm/dd/yyyy"))</f>
        <v>000261758: 4 Mountain Bikes - 12/19/2021</v>
      </c>
      <c r="F65" t="str">
        <f>LEFT(Bike_Sales_Functions_Lab!M65,12)</f>
        <v>Mountain-200</v>
      </c>
      <c r="G65" t="str">
        <f>MID(Bike_Sales_Functions_Lab!M65,13,6)</f>
        <v xml:space="preserve"> Black</v>
      </c>
      <c r="H65" t="str">
        <f>RIGHT(Bike_Sales_Functions_Lab!M65, 2)</f>
        <v>38</v>
      </c>
    </row>
    <row r="66" spans="4:8" x14ac:dyDescent="0.3">
      <c r="D66" t="str">
        <f>CONCATENATE(Bike_Sales_Functions_Lab!A66,": ", Bike_Sales_Functions_Lab!N66," ",Bike_Sales_Functions_Lab!L66," - ",TEXT(Bike_Sales_Functions_Lab!B66,"mm/dd/yyyy"))</f>
        <v>000261759: 4 Mountain Bikes - 12/19/2021</v>
      </c>
      <c r="F66" t="str">
        <f>LEFT(Bike_Sales_Functions_Lab!M66,12)</f>
        <v>Mountain-100</v>
      </c>
      <c r="G66" t="str">
        <f>MID(Bike_Sales_Functions_Lab!M66,13,6)</f>
        <v xml:space="preserve"> Black</v>
      </c>
      <c r="H66" t="str">
        <f>RIGHT(Bike_Sales_Functions_Lab!M66, 2)</f>
        <v>48</v>
      </c>
    </row>
    <row r="67" spans="4:8" x14ac:dyDescent="0.3">
      <c r="D67" t="str">
        <f>CONCATENATE(Bike_Sales_Functions_Lab!A67,": ", Bike_Sales_Functions_Lab!N67," ",Bike_Sales_Functions_Lab!L67," - ",TEXT(Bike_Sales_Functions_Lab!B67,"mm/dd/yyyy"))</f>
        <v>000261760: 4 Mountain Bikes - 12/19/2021</v>
      </c>
      <c r="F67" t="str">
        <f>LEFT(Bike_Sales_Functions_Lab!M67,12)</f>
        <v>Mountain-200</v>
      </c>
      <c r="G67" t="str">
        <f>MID(Bike_Sales_Functions_Lab!M67,13,6)</f>
        <v xml:space="preserve"> Black</v>
      </c>
      <c r="H67" t="str">
        <f>RIGHT(Bike_Sales_Functions_Lab!M67, 2)</f>
        <v>38</v>
      </c>
    </row>
    <row r="68" spans="4:8" x14ac:dyDescent="0.3">
      <c r="D68" t="str">
        <f>CONCATENATE(Bike_Sales_Functions_Lab!A68,": ", Bike_Sales_Functions_Lab!N68," ",Bike_Sales_Functions_Lab!L68," - ",TEXT(Bike_Sales_Functions_Lab!B68,"mm/dd/yyyy"))</f>
        <v>000261761: 4 Mountain Bikes - 12/19/2021</v>
      </c>
      <c r="F68" t="str">
        <f>LEFT(Bike_Sales_Functions_Lab!M68,12)</f>
        <v>Mountain-200</v>
      </c>
      <c r="G68" t="str">
        <f>MID(Bike_Sales_Functions_Lab!M68,13,6)</f>
        <v xml:space="preserve"> Black</v>
      </c>
      <c r="H68" t="str">
        <f>RIGHT(Bike_Sales_Functions_Lab!M68, 2)</f>
        <v>46</v>
      </c>
    </row>
    <row r="69" spans="4:8" x14ac:dyDescent="0.3">
      <c r="D69" t="str">
        <f>CONCATENATE(Bike_Sales_Functions_Lab!A69,": ", Bike_Sales_Functions_Lab!N69," ",Bike_Sales_Functions_Lab!L69," - ",TEXT(Bike_Sales_Functions_Lab!B69,"mm/dd/yyyy"))</f>
        <v>000261762: 4 Mountain Bikes - 12/19/2021</v>
      </c>
      <c r="F69" t="str">
        <f>LEFT(Bike_Sales_Functions_Lab!M69,12)</f>
        <v>Mountain-200</v>
      </c>
      <c r="G69" t="str">
        <f>MID(Bike_Sales_Functions_Lab!M69,13,6)</f>
        <v xml:space="preserve"> Black</v>
      </c>
      <c r="H69" t="str">
        <f>RIGHT(Bike_Sales_Functions_Lab!M69, 2)</f>
        <v>46</v>
      </c>
    </row>
    <row r="70" spans="4:8" x14ac:dyDescent="0.3">
      <c r="D70" t="str">
        <f>CONCATENATE(Bike_Sales_Functions_Lab!A70,": ", Bike_Sales_Functions_Lab!N70," ",Bike_Sales_Functions_Lab!L70," - ",TEXT(Bike_Sales_Functions_Lab!B70,"mm/dd/yyyy"))</f>
        <v>000261763: 2 Mountain Bikes - 12/19/2021</v>
      </c>
      <c r="F70" t="str">
        <f>LEFT(Bike_Sales_Functions_Lab!M70,12)</f>
        <v>Mountain-500</v>
      </c>
      <c r="G70" t="str">
        <f>MID(Bike_Sales_Functions_Lab!M70,13,6)</f>
        <v xml:space="preserve"> Black</v>
      </c>
      <c r="H70" t="str">
        <f>RIGHT(Bike_Sales_Functions_Lab!M70, 2)</f>
        <v>40</v>
      </c>
    </row>
    <row r="71" spans="4:8" x14ac:dyDescent="0.3">
      <c r="D71" t="str">
        <f>CONCATENATE(Bike_Sales_Functions_Lab!A71,": ", Bike_Sales_Functions_Lab!N71," ",Bike_Sales_Functions_Lab!L71," - ",TEXT(Bike_Sales_Functions_Lab!B71,"mm/dd/yyyy"))</f>
        <v>000261764: 2 Mountain Bikes - 12/19/2021</v>
      </c>
      <c r="F71" t="str">
        <f>LEFT(Bike_Sales_Functions_Lab!M71,12)</f>
        <v>Mountain-200</v>
      </c>
      <c r="G71" t="str">
        <f>MID(Bike_Sales_Functions_Lab!M71,13,6)</f>
        <v xml:space="preserve"> Black</v>
      </c>
      <c r="H71" t="str">
        <f>RIGHT(Bike_Sales_Functions_Lab!M71, 2)</f>
        <v>46</v>
      </c>
    </row>
    <row r="72" spans="4:8" x14ac:dyDescent="0.3">
      <c r="D72" t="str">
        <f>CONCATENATE(Bike_Sales_Functions_Lab!A72,": ", Bike_Sales_Functions_Lab!N72," ",Bike_Sales_Functions_Lab!L72," - ",TEXT(Bike_Sales_Functions_Lab!B72,"mm/dd/yyyy"))</f>
        <v>000261765: 1 Mountain Bikes - 12/19/2021</v>
      </c>
      <c r="F72" t="str">
        <f>LEFT(Bike_Sales_Functions_Lab!M72,12)</f>
        <v>Mountain-200</v>
      </c>
      <c r="G72" t="str">
        <f>MID(Bike_Sales_Functions_Lab!M72,13,7)</f>
        <v xml:space="preserve"> Silver</v>
      </c>
      <c r="H72" t="str">
        <f>RIGHT(Bike_Sales_Functions_Lab!M72, 2)</f>
        <v>38</v>
      </c>
    </row>
    <row r="73" spans="4:8" x14ac:dyDescent="0.3">
      <c r="D73" t="str">
        <f>CONCATENATE(Bike_Sales_Functions_Lab!A73,": ", Bike_Sales_Functions_Lab!N73," ",Bike_Sales_Functions_Lab!L73," - ",TEXT(Bike_Sales_Functions_Lab!B73,"mm/dd/yyyy"))</f>
        <v>000261766: 4 Mountain Bikes - 12/20/2021</v>
      </c>
      <c r="F73" t="str">
        <f>LEFT(Bike_Sales_Functions_Lab!M73,12)</f>
        <v>Mountain-100</v>
      </c>
      <c r="G73" t="str">
        <f>MID(Bike_Sales_Functions_Lab!M73,13,6)</f>
        <v xml:space="preserve"> Black</v>
      </c>
      <c r="H73" t="str">
        <f>RIGHT(Bike_Sales_Functions_Lab!M73, 2)</f>
        <v>38</v>
      </c>
    </row>
    <row r="74" spans="4:8" x14ac:dyDescent="0.3">
      <c r="D74" t="str">
        <f>CONCATENATE(Bike_Sales_Functions_Lab!A74,": ", Bike_Sales_Functions_Lab!N74," ",Bike_Sales_Functions_Lab!L74," - ",TEXT(Bike_Sales_Functions_Lab!B74,"mm/dd/yyyy"))</f>
        <v>000261767: 4 Mountain Bikes - 12/20/2021</v>
      </c>
      <c r="F74" t="str">
        <f>LEFT(Bike_Sales_Functions_Lab!M74,12)</f>
        <v>Mountain-200</v>
      </c>
      <c r="G74" t="str">
        <f>MID(Bike_Sales_Functions_Lab!M74,13,6)</f>
        <v xml:space="preserve"> Black</v>
      </c>
      <c r="H74" t="str">
        <f>RIGHT(Bike_Sales_Functions_Lab!M74, 2)</f>
        <v>46</v>
      </c>
    </row>
    <row r="75" spans="4:8" x14ac:dyDescent="0.3">
      <c r="D75" t="str">
        <f>CONCATENATE(Bike_Sales_Functions_Lab!A75,": ", Bike_Sales_Functions_Lab!N75," ",Bike_Sales_Functions_Lab!L75," - ",TEXT(Bike_Sales_Functions_Lab!B75,"mm/dd/yyyy"))</f>
        <v>000261768: 3 Mountain Bikes - 12/20/2021</v>
      </c>
      <c r="F75" t="str">
        <f>LEFT(Bike_Sales_Functions_Lab!M75,12)</f>
        <v>Mountain-500</v>
      </c>
      <c r="G75" t="str">
        <f>MID(Bike_Sales_Functions_Lab!M75,13,6)</f>
        <v xml:space="preserve"> Black</v>
      </c>
      <c r="H75" t="str">
        <f>RIGHT(Bike_Sales_Functions_Lab!M75, 2)</f>
        <v>52</v>
      </c>
    </row>
    <row r="76" spans="4:8" x14ac:dyDescent="0.3">
      <c r="D76" t="str">
        <f>CONCATENATE(Bike_Sales_Functions_Lab!A76,": ", Bike_Sales_Functions_Lab!N76," ",Bike_Sales_Functions_Lab!L76," - ",TEXT(Bike_Sales_Functions_Lab!B76,"mm/dd/yyyy"))</f>
        <v>000261769: 1 Mountain Bikes - 12/20/2021</v>
      </c>
      <c r="F76" t="str">
        <f>LEFT(Bike_Sales_Functions_Lab!M76,12)</f>
        <v>Mountain-200</v>
      </c>
      <c r="G76" t="str">
        <f>MID(Bike_Sales_Functions_Lab!M76,13,7)</f>
        <v xml:space="preserve"> Silver</v>
      </c>
      <c r="H76" t="str">
        <f>RIGHT(Bike_Sales_Functions_Lab!M76, 2)</f>
        <v>38</v>
      </c>
    </row>
    <row r="77" spans="4:8" x14ac:dyDescent="0.3">
      <c r="D77" t="str">
        <f>CONCATENATE(Bike_Sales_Functions_Lab!A77,": ", Bike_Sales_Functions_Lab!N77," ",Bike_Sales_Functions_Lab!L77," - ",TEXT(Bike_Sales_Functions_Lab!B77,"mm/dd/yyyy"))</f>
        <v>000261770: 1 Mountain Bikes - 12/20/2021</v>
      </c>
      <c r="F77" t="str">
        <f>LEFT(Bike_Sales_Functions_Lab!M77,12)</f>
        <v>Mountain-200</v>
      </c>
      <c r="G77" t="str">
        <f>MID(Bike_Sales_Functions_Lab!M77,13,7)</f>
        <v xml:space="preserve"> Silver</v>
      </c>
      <c r="H77" t="str">
        <f>RIGHT(Bike_Sales_Functions_Lab!M77, 2)</f>
        <v>38</v>
      </c>
    </row>
    <row r="78" spans="4:8" x14ac:dyDescent="0.3">
      <c r="D78" t="str">
        <f>CONCATENATE(Bike_Sales_Functions_Lab!A78,": ", Bike_Sales_Functions_Lab!N78," ",Bike_Sales_Functions_Lab!L78," - ",TEXT(Bike_Sales_Functions_Lab!B78,"mm/dd/yyyy"))</f>
        <v>000261771: 3 Mountain Bikes - 12/21/2021</v>
      </c>
      <c r="F78" t="str">
        <f>LEFT(Bike_Sales_Functions_Lab!M78,12)</f>
        <v>Mountain-200</v>
      </c>
      <c r="G78" t="str">
        <f>MID(Bike_Sales_Functions_Lab!M78,13,7)</f>
        <v xml:space="preserve"> Silver</v>
      </c>
      <c r="H78" t="str">
        <f>RIGHT(Bike_Sales_Functions_Lab!M78, 2)</f>
        <v>38</v>
      </c>
    </row>
    <row r="79" spans="4:8" x14ac:dyDescent="0.3">
      <c r="D79" t="str">
        <f>CONCATENATE(Bike_Sales_Functions_Lab!A79,": ", Bike_Sales_Functions_Lab!N79," ",Bike_Sales_Functions_Lab!L79," - ",TEXT(Bike_Sales_Functions_Lab!B79,"mm/dd/yyyy"))</f>
        <v>000261772: 2 Mountain Bikes - 12/21/2021</v>
      </c>
      <c r="F79" t="str">
        <f>LEFT(Bike_Sales_Functions_Lab!M79,14)</f>
        <v>Mountain-400-W</v>
      </c>
      <c r="G79" t="str">
        <f>MID(Bike_Sales_Functions_Lab!M79,16,6)</f>
        <v>Silver</v>
      </c>
      <c r="H79" t="str">
        <f>RIGHT(Bike_Sales_Functions_Lab!M79, 2)</f>
        <v>46</v>
      </c>
    </row>
    <row r="80" spans="4:8" x14ac:dyDescent="0.3">
      <c r="D80" t="str">
        <f>CONCATENATE(Bike_Sales_Functions_Lab!A80,": ", Bike_Sales_Functions_Lab!N80," ",Bike_Sales_Functions_Lab!L80," - ",TEXT(Bike_Sales_Functions_Lab!B80,"mm/dd/yyyy"))</f>
        <v>000261773: 3 Mountain Bikes - 12/22/2021</v>
      </c>
      <c r="F80" t="str">
        <f>LEFT(Bike_Sales_Functions_Lab!M80,12)</f>
        <v>Mountain-200</v>
      </c>
      <c r="G80" t="str">
        <f>MID(Bike_Sales_Functions_Lab!M80,13,7)</f>
        <v xml:space="preserve"> Silver</v>
      </c>
      <c r="H80" t="str">
        <f>RIGHT(Bike_Sales_Functions_Lab!M80, 2)</f>
        <v>38</v>
      </c>
    </row>
    <row r="81" spans="4:8" x14ac:dyDescent="0.3">
      <c r="D81" t="str">
        <f>CONCATENATE(Bike_Sales_Functions_Lab!A81,": ", Bike_Sales_Functions_Lab!N81," ",Bike_Sales_Functions_Lab!L81," - ",TEXT(Bike_Sales_Functions_Lab!B81,"mm/dd/yyyy"))</f>
        <v>000261774: 3 Mountain Bikes - 12/22/2021</v>
      </c>
      <c r="F81" t="str">
        <f>LEFT(Bike_Sales_Functions_Lab!M81,12)</f>
        <v>Mountain-200</v>
      </c>
      <c r="G81" t="str">
        <f>MID(Bike_Sales_Functions_Lab!M81,13,6)</f>
        <v xml:space="preserve"> Black</v>
      </c>
      <c r="H81" t="str">
        <f>RIGHT(Bike_Sales_Functions_Lab!M81, 2)</f>
        <v>42</v>
      </c>
    </row>
    <row r="82" spans="4:8" x14ac:dyDescent="0.3">
      <c r="D82" t="str">
        <f>CONCATENATE(Bike_Sales_Functions_Lab!A82,": ", Bike_Sales_Functions_Lab!N82," ",Bike_Sales_Functions_Lab!L82," - ",TEXT(Bike_Sales_Functions_Lab!B82,"mm/dd/yyyy"))</f>
        <v>000261775: 1 Mountain Bikes - 12/22/2021</v>
      </c>
      <c r="F82" t="str">
        <f>LEFT(Bike_Sales_Functions_Lab!M82,12)</f>
        <v>Mountain-500</v>
      </c>
      <c r="G82" t="str">
        <f>MID(Bike_Sales_Functions_Lab!M82,13,7)</f>
        <v xml:space="preserve"> Silver</v>
      </c>
      <c r="H82" t="str">
        <f>RIGHT(Bike_Sales_Functions_Lab!M82, 2)</f>
        <v>42</v>
      </c>
    </row>
    <row r="83" spans="4:8" x14ac:dyDescent="0.3">
      <c r="D83" t="str">
        <f>CONCATENATE(Bike_Sales_Functions_Lab!A83,": ", Bike_Sales_Functions_Lab!N83," ",Bike_Sales_Functions_Lab!L83," - ",TEXT(Bike_Sales_Functions_Lab!B83,"mm/dd/yyyy"))</f>
        <v>000261776: 1 Mountain Bikes - 12/22/2021</v>
      </c>
      <c r="F83" t="str">
        <f>LEFT(Bike_Sales_Functions_Lab!M83,12)</f>
        <v>Mountain-200</v>
      </c>
      <c r="G83" t="str">
        <f>MID(Bike_Sales_Functions_Lab!M83,13,6)</f>
        <v xml:space="preserve"> Black</v>
      </c>
      <c r="H83" t="str">
        <f>RIGHT(Bike_Sales_Functions_Lab!M83, 2)</f>
        <v>38</v>
      </c>
    </row>
    <row r="84" spans="4:8" x14ac:dyDescent="0.3">
      <c r="D84" t="str">
        <f>CONCATENATE(Bike_Sales_Functions_Lab!A84,": ", Bike_Sales_Functions_Lab!N84," ",Bike_Sales_Functions_Lab!L84," - ",TEXT(Bike_Sales_Functions_Lab!B84,"mm/dd/yyyy"))</f>
        <v>000261777: 1 Mountain Bikes - 12/22/2021</v>
      </c>
      <c r="F84" t="str">
        <f>LEFT(Bike_Sales_Functions_Lab!M84,12)</f>
        <v>Mountain-200</v>
      </c>
      <c r="G84" t="str">
        <f>MID(Bike_Sales_Functions_Lab!M84,13,6)</f>
        <v xml:space="preserve"> Black</v>
      </c>
      <c r="H84" t="str">
        <f>RIGHT(Bike_Sales_Functions_Lab!M84, 2)</f>
        <v>46</v>
      </c>
    </row>
    <row r="85" spans="4:8" x14ac:dyDescent="0.3">
      <c r="D85" t="str">
        <f>CONCATENATE(Bike_Sales_Functions_Lab!A85,": ", Bike_Sales_Functions_Lab!N85," ",Bike_Sales_Functions_Lab!L85," - ",TEXT(Bike_Sales_Functions_Lab!B85,"mm/dd/yyyy"))</f>
        <v>000261778: 1 Mountain Bikes - 12/22/2021</v>
      </c>
      <c r="F85" t="str">
        <f>LEFT(Bike_Sales_Functions_Lab!M85,12)</f>
        <v>Mountain-200</v>
      </c>
      <c r="G85" t="str">
        <f>MID(Bike_Sales_Functions_Lab!M85,13,7)</f>
        <v xml:space="preserve"> Silver</v>
      </c>
      <c r="H85" t="str">
        <f>RIGHT(Bike_Sales_Functions_Lab!M85, 2)</f>
        <v>38</v>
      </c>
    </row>
    <row r="86" spans="4:8" x14ac:dyDescent="0.3">
      <c r="D86" t="str">
        <f>CONCATENATE(Bike_Sales_Functions_Lab!A86,": ", Bike_Sales_Functions_Lab!N86," ",Bike_Sales_Functions_Lab!L86," - ",TEXT(Bike_Sales_Functions_Lab!B86,"mm/dd/yyyy"))</f>
        <v>000261779: 1 Mountain Bikes - 12/23/2021</v>
      </c>
      <c r="F86" t="str">
        <f>LEFT(Bike_Sales_Functions_Lab!M86,12)</f>
        <v>Mountain-200</v>
      </c>
      <c r="G86" t="str">
        <f>MID(Bike_Sales_Functions_Lab!M86,13,7)</f>
        <v xml:space="preserve"> Silver</v>
      </c>
      <c r="H86" t="str">
        <f>RIGHT(Bike_Sales_Functions_Lab!M86, 2)</f>
        <v>42</v>
      </c>
    </row>
    <row r="87" spans="4:8" x14ac:dyDescent="0.3">
      <c r="D87" t="str">
        <f>CONCATENATE(Bike_Sales_Functions_Lab!A87,": ", Bike_Sales_Functions_Lab!N87," ",Bike_Sales_Functions_Lab!L87," - ",TEXT(Bike_Sales_Functions_Lab!B87,"mm/dd/yyyy"))</f>
        <v>000261780: 1 Mountain Bikes - 12/23/2021</v>
      </c>
      <c r="F87" t="str">
        <f>LEFT(Bike_Sales_Functions_Lab!M87,12)</f>
        <v>Mountain-200</v>
      </c>
      <c r="G87" t="str">
        <f>MID(Bike_Sales_Functions_Lab!M87,13,6)</f>
        <v xml:space="preserve"> Black</v>
      </c>
      <c r="H87" t="str">
        <f>RIGHT(Bike_Sales_Functions_Lab!M87, 2)</f>
        <v>42</v>
      </c>
    </row>
    <row r="88" spans="4:8" x14ac:dyDescent="0.3">
      <c r="D88" t="str">
        <f>CONCATENATE(Bike_Sales_Functions_Lab!A88,": ", Bike_Sales_Functions_Lab!N88," ",Bike_Sales_Functions_Lab!L88," - ",TEXT(Bike_Sales_Functions_Lab!B88,"mm/dd/yyyy"))</f>
        <v>000261781: 1 Mountain Bikes - 12/23/2021</v>
      </c>
      <c r="F88" t="str">
        <f>LEFT(Bike_Sales_Functions_Lab!M88,12)</f>
        <v>Mountain-500</v>
      </c>
      <c r="G88" t="str">
        <f>MID(Bike_Sales_Functions_Lab!M88,13,6)</f>
        <v xml:space="preserve"> Black</v>
      </c>
      <c r="H88" t="str">
        <f>RIGHT(Bike_Sales_Functions_Lab!M88, 2)</f>
        <v>42</v>
      </c>
    </row>
    <row r="89" spans="4:8" x14ac:dyDescent="0.3">
      <c r="D89" t="str">
        <f>CONCATENATE(Bike_Sales_Functions_Lab!A89,": ", Bike_Sales_Functions_Lab!N89," ",Bike_Sales_Functions_Lab!L89," - ",TEXT(Bike_Sales_Functions_Lab!B89,"mm/dd/yyyy"))</f>
        <v>000261782: 4 Mountain Bikes - 12/24/2021</v>
      </c>
      <c r="F89" t="str">
        <f>LEFT(Bike_Sales_Functions_Lab!M89,12)</f>
        <v>Mountain-200</v>
      </c>
      <c r="G89" t="str">
        <f>MID(Bike_Sales_Functions_Lab!M89,13,6)</f>
        <v xml:space="preserve"> Black</v>
      </c>
      <c r="H89" t="str">
        <f>RIGHT(Bike_Sales_Functions_Lab!M89, 2)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Bike_Sales_Functions_Lab</vt:lpstr>
      <vt:lpstr>Functions and Formulas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Chavez</cp:lastModifiedBy>
  <dcterms:created xsi:type="dcterms:W3CDTF">2025-08-25T10:36:47Z</dcterms:created>
  <dcterms:modified xsi:type="dcterms:W3CDTF">2025-08-25T10:41:00Z</dcterms:modified>
</cp:coreProperties>
</file>